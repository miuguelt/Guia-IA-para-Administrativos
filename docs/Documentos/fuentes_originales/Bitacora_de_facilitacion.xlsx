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6c8085784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8eaaf150735f4fdb"/>
    <x:sheet xmlns:r="http://schemas.openxmlformats.org/officeDocument/2006/relationships" name="Agenda" sheetId="2" r:id="R7a100abcebc54511"/>
    <x:sheet xmlns:r="http://schemas.openxmlformats.org/officeDocument/2006/relationships" name="Bóveda" sheetId="3" r:id="Ra08ce3b08ef8489b"/>
    <x:sheet xmlns:r="http://schemas.openxmlformats.org/officeDocument/2006/relationships" name="Participantes" sheetId="4" r:id="Rc79400b1bf9248c2"/>
    <x:sheet xmlns:r="http://schemas.openxmlformats.org/officeDocument/2006/relationships" name="Hackathon" sheetId="5" r:id="Rebaf5e3401f443c6"/>
    <x:sheet xmlns:r="http://schemas.openxmlformats.org/officeDocument/2006/relationships" name="Transferencia" sheetId="6" r:id="Reb03d26cfc344a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dd/mm/yyyy"/>
  </x:numFmts>
  <x:fonts count="13">
    <x:font>
      <x:sz val="11"/>
      <x:name val="Carlito"/>
    </x:font>
    <x:font>
      <x:b/>
      <x:sz val="16"/>
      <x:color rgb="FF17493E"/>
      <x:name val="Arial"/>
    </x:font>
    <x:font>
      <x:i/>
      <x:sz val="10"/>
      <x:color rgb="FF5F6E68"/>
      <x:name val="Arial"/>
    </x:font>
    <x:font>
      <x:b/>
      <x:sz val="10"/>
      <x:color rgb="FF1F2D28"/>
      <x:name val="Arial"/>
    </x:font>
    <x:font>
      <x:sz val="10"/>
      <x:color rgb="FF1F2D28"/>
      <x:name val="Arial"/>
    </x:font>
    <x:font>
      <x:i/>
      <x:sz val="10"/>
      <x:color rgb="FF1F2D28"/>
      <x:name val="Arial"/>
    </x:font>
    <x:font>
      <x:b/>
      <x:sz val="10"/>
      <x:color rgb="FF17493E"/>
      <x:name val="Arial"/>
    </x:font>
    <x:font>
      <x:b/>
      <x:sz val="10"/>
      <x:color rgb="FFFFFFFF"/>
      <x:name val="Arial"/>
    </x:font>
    <x:font>
      <x:b/>
      <x:sz val="11"/>
      <x:color rgb="FF17493E"/>
      <x:name val="Arial"/>
    </x:font>
    <x:font>
      <x:sz val="9"/>
      <x:color rgb="FF5F6E68"/>
      <x:name val="Arial"/>
    </x:font>
    <x:font>
      <x:i/>
      <x:sz val="9"/>
      <x:color rgb="FF5F6E68"/>
      <x:name val="Arial"/>
    </x:font>
    <x:font>
      <x:sz val="9"/>
      <x:color rgb="FF17493E"/>
      <x:name val="Arial"/>
    </x:font>
    <x:font>
      <x:i/>
      <x:sz val="9"/>
      <x:color rgb="FF17493E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8F1EE"/>
      </x:patternFill>
    </x:fill>
    <x:fill>
      <x:patternFill patternType="solid">
        <x:fgColor rgb="FF286A58"/>
      </x:patternFill>
    </x:fill>
    <x:fill>
      <x:patternFill patternType="solid">
        <x:fgColor rgb="FFEEF2F0"/>
      </x:patternFill>
    </x:fill>
    <x:fill>
      <x:patternFill patternType="solid">
        <x:fgColor rgb="FFFCE8E6"/>
      </x:patternFill>
    </x:fill>
    <x:fill>
      <x:patternFill patternType="solid">
        <x:fgColor rgb="FFFFF2CC"/>
      </x:patternFill>
    </x:fill>
  </x:fills>
  <x:borders count="17">
    <x:border/>
    <x:border>
      <x:left style="thin">
        <x:color rgb="FFCBD7D1"/>
      </x:left>
      <x:top style="thin">
        <x:color rgb="FFCBD7D1"/>
      </x:top>
      <x:bottom style="thin">
        <x:color rgb="FFCBD7D1"/>
      </x:bottom>
    </x:border>
    <x:border>
      <x:top style="thin">
        <x:color rgb="FFCBD7D1"/>
      </x:top>
      <x:bottom style="thin">
        <x:color rgb="FFCBD7D1"/>
      </x:bottom>
    </x:border>
    <x:border>
      <x:right style="thin">
        <x:color rgb="FFCBD7D1"/>
      </x:right>
      <x:top style="thin">
        <x:color rgb="FFCBD7D1"/>
      </x:top>
      <x:bottom style="thin">
        <x:color rgb="FFCBD7D1"/>
      </x:bottom>
    </x:border>
    <x:border>
      <x:left style="thin">
        <x:color rgb="FF286A58"/>
      </x:left>
      <x:top style="thin">
        <x:color rgb="FF286A58"/>
      </x:top>
      <x:bottom style="thin">
        <x:color rgb="FF286A58"/>
      </x:bottom>
    </x:border>
    <x:border>
      <x:top style="thin">
        <x:color rgb="FF286A58"/>
      </x:top>
      <x:bottom style="thin">
        <x:color rgb="FF286A58"/>
      </x:bottom>
    </x:border>
    <x:border>
      <x:right style="thin">
        <x:color rgb="FF286A58"/>
      </x:right>
      <x:top style="thin">
        <x:color rgb="FF286A58"/>
      </x:top>
      <x:bottom style="thin">
        <x:color rgb="FF286A58"/>
      </x:bottom>
    </x:border>
    <x:border>
      <x:bottom style="thin">
        <x:color rgb="FFCBD7D1"/>
      </x:bottom>
    </x:border>
    <x:border>
      <x:top style="thin">
        <x:color rgb="FFCBD7D1"/>
      </x:top>
    </x:border>
    <x:border>
      <x:left style="thin">
        <x:color rgb="FFE5B7B3"/>
      </x:left>
      <x:top style="thin">
        <x:color rgb="FFE5B7B3"/>
      </x:top>
    </x:border>
    <x:border>
      <x:top style="thin">
        <x:color rgb="FFE5B7B3"/>
      </x:top>
    </x:border>
    <x:border>
      <x:right style="thin">
        <x:color rgb="FFE5B7B3"/>
      </x:right>
      <x:top style="thin">
        <x:color rgb="FFE5B7B3"/>
      </x:top>
    </x:border>
    <x:border>
      <x:left style="thin">
        <x:color rgb="FFE5B7B3"/>
      </x:left>
    </x:border>
    <x:border>
      <x:right style="thin">
        <x:color rgb="FFE5B7B3"/>
      </x:right>
    </x:border>
    <x:border>
      <x:left style="thin">
        <x:color rgb="FFE5B7B3"/>
      </x:left>
      <x:bottom style="thin">
        <x:color rgb="FFE5B7B3"/>
      </x:bottom>
    </x:border>
    <x:border>
      <x:bottom style="thin">
        <x:color rgb="FFE5B7B3"/>
      </x:bottom>
    </x:border>
    <x:border>
      <x:right style="thin">
        <x:color rgb="FFE5B7B3"/>
      </x:right>
      <x:bottom style="thin">
        <x:color rgb="FFE5B7B3"/>
      </x:bottom>
    </x:border>
  </x:borders>
  <x:cellStyleXfs count="1">
    <x:xf numFmtId="0" fontId="0" fillId="0" borderId="0"/>
  </x:cellStyleXfs>
  <x:cellXfs count="136">
    <x:xf numFmtId="0" fontId="0" fillId="0" borderId="0" xfId="0"/>
    <x:xf numFmtId="0" fontId="0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/>
    </x:xf>
    <x:xf numFmtId="0" fontId="7" fillId="3" borderId="5" xfId="0" applyNumberFormat="1" applyFont="1" applyFill="1" applyBorder="1" applyAlignment="1">
      <x:alignment vertical="center"/>
    </x:xf>
    <x:xf numFmtId="0" fontId="7" fillId="3" borderId="6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0" fontId="7" fillId="3" borderId="6" xfId="0" applyNumberFormat="1" applyFont="1" applyFill="1" applyBorder="1" applyAlignment="1">
      <x:alignment vertical="center" wrapText="1"/>
    </x:xf>
    <x:xf numFmtId="0" fontId="7" fillId="3" borderId="4" xfId="0" applyNumberFormat="1" applyFont="1" applyFill="1" applyBorder="1" applyAlignment="1">
      <x:alignment horizontal="center" vertical="center" wrapText="1"/>
    </x:xf>
    <x:xf numFmtId="0" fontId="7" fillId="3" borderId="5" xfId="0" applyNumberFormat="1" applyFont="1" applyFill="1" applyBorder="1" applyAlignment="1">
      <x:alignment horizontal="center" vertical="center" wrapText="1"/>
    </x:xf>
    <x:xf numFmtId="0" fontId="7" fillId="3" borderId="6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8" fillId="4" borderId="7" xfId="0" applyNumberFormat="1" applyFont="1" applyFill="1" applyBorder="1" applyAlignment="1">
      <x:alignment horizontal="center" vertical="center"/>
    </x:xf>
    <x:xf numFmtId="0" fontId="9" fillId="0" borderId="7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8" fillId="4" borderId="2" xfId="0" applyNumberFormat="1" applyFont="1" applyFill="1" applyBorder="1" applyAlignment="1">
      <x:alignment horizontal="center" vertical="center"/>
    </x:xf>
    <x:xf numFmtId="0" fontId="9" fillId="0" borderId="2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8" fillId="4" borderId="8" xfId="0" applyNumberFormat="1" applyFont="1" applyFill="1" applyBorder="1" applyAlignment="1">
      <x:alignment horizontal="center" vertical="center"/>
    </x:xf>
    <x:xf numFmtId="0" fontId="9" fillId="0" borderId="8" xfId="0" applyNumberFormat="1" applyFont="1" applyFill="1" applyBorder="1" applyAlignment="1">
      <x:alignment vertical="center"/>
    </x:xf>
    <x:xf numFmtId="200" fontId="8" fillId="4" borderId="2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0" fontId="4" fillId="5" borderId="13" xfId="0" applyNumberFormat="1" applyFont="1" applyFill="1" applyBorder="1" applyAlignment="1">
      <x:alignment vertical="center"/>
    </x:xf>
    <x:xf numFmtId="0" fontId="4" fillId="5" borderId="14" xfId="0" applyNumberFormat="1" applyFont="1" applyFill="1" applyBorder="1" applyAlignment="1">
      <x:alignment vertical="center"/>
    </x:xf>
    <x:xf numFmtId="0" fontId="4" fillId="5" borderId="15" xfId="0" applyNumberFormat="1" applyFont="1" applyFill="1" applyBorder="1" applyAlignment="1">
      <x:alignment vertical="center"/>
    </x:xf>
    <x:xf numFmtId="0" fontId="4" fillId="5" borderId="16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201" fontId="4" fillId="0" borderId="0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201" fontId="4" fillId="0" borderId="7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201" fontId="4" fillId="0" borderId="2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201" fontId="4" fillId="0" borderId="8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4" fillId="6" borderId="7" xfId="0" applyNumberFormat="1" applyFont="1" applyFill="1" applyBorder="1" applyAlignment="1">
      <x:alignment vertical="center"/>
    </x:xf>
    <x:xf numFmtId="200" fontId="4" fillId="4" borderId="7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200" fontId="4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6" borderId="8" xfId="0" applyNumberFormat="1" applyFont="1" applyFill="1" applyBorder="1" applyAlignment="1">
      <x:alignment vertical="center"/>
    </x:xf>
    <x:xf numFmtId="200" fontId="4" fillId="4" borderId="8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vertical="center"/>
    </x:xf>
    <x:xf numFmtId="20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0" fontId="4" fillId="6" borderId="7" xfId="0" applyNumberFormat="1" applyFont="1" applyFill="1" applyBorder="1" applyAlignment="1">
      <x:alignment vertical="top" wrapText="1"/>
    </x:xf>
    <x:xf numFmtId="200" fontId="4" fillId="4" borderId="7" xfId="0" applyNumberFormat="1" applyFont="1" applyFill="1" applyBorder="1" applyAlignment="1">
      <x:alignment vertical="top" wrapText="1"/>
    </x:xf>
    <x:xf numFmtId="200" fontId="4" fillId="6" borderId="2" xfId="0" applyNumberFormat="1" applyFont="1" applyFill="1" applyBorder="1" applyAlignment="1">
      <x:alignment vertical="top" wrapText="1"/>
    </x:xf>
    <x:xf numFmtId="200" fontId="4" fillId="4" borderId="2" xfId="0" applyNumberFormat="1" applyFont="1" applyFill="1" applyBorder="1" applyAlignment="1">
      <x:alignment vertical="top" wrapText="1"/>
    </x:xf>
    <x:xf numFmtId="200" fontId="4" fillId="6" borderId="8" xfId="0" applyNumberFormat="1" applyFont="1" applyFill="1" applyBorder="1" applyAlignment="1">
      <x:alignment vertical="top" wrapText="1"/>
    </x:xf>
    <x:xf numFmtId="200" fontId="4" fillId="4" borderId="8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/>
    </x:xf>
    <x:xf numFmtId="201" fontId="6" fillId="2" borderId="2" xfId="0" applyNumberFormat="1" applyFont="1" applyFill="1" applyBorder="1" applyAlignment="1">
      <x:alignment vertical="center" wrapText="1"/>
    </x:xf>
    <x:xf numFmtId="201" fontId="4" fillId="6" borderId="0" xfId="0" applyNumberFormat="1" applyFont="1" applyFill="1" applyBorder="1" applyAlignment="1">
      <x:alignment vertical="center"/>
    </x:xf>
    <x:xf numFmtId="201" fontId="4" fillId="6" borderId="0" xfId="0" applyNumberFormat="1" applyFont="1" applyFill="1" applyBorder="1" applyAlignment="1">
      <x:alignment horizontal="center" vertical="center"/>
    </x:xf>
    <x:xf numFmtId="200" fontId="6" fillId="2" borderId="2" xfId="0" applyNumberFormat="1" applyFont="1" applyFill="1" applyBorder="1" applyAlignment="1">
      <x:alignment vertical="center" wrapText="1"/>
    </x:xf>
    <x:xf numFmtId="200" fontId="6" fillId="2" borderId="3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7" xfId="0" applyNumberFormat="1" applyFont="1" applyFill="1" applyBorder="1" applyAlignment="1">
      <x:alignment vertical="center" wrapText="1"/>
    </x:xf>
    <x:xf numFmtId="201" fontId="4" fillId="6" borderId="7" xfId="0" applyNumberFormat="1" applyFont="1" applyFill="1" applyBorder="1" applyAlignment="1">
      <x:alignment horizontal="center" vertical="center"/>
    </x:xf>
    <x:xf numFmtId="201" fontId="4" fillId="0" borderId="2" xfId="0" applyNumberFormat="1" applyFont="1" applyFill="1" applyBorder="1" applyAlignment="1">
      <x:alignment vertical="center" wrapText="1"/>
    </x:xf>
    <x:xf numFmtId="201" fontId="4" fillId="6" borderId="2" xfId="0" applyNumberFormat="1" applyFont="1" applyFill="1" applyBorder="1" applyAlignment="1">
      <x:alignment horizontal="center" vertical="center"/>
    </x:xf>
    <x:xf numFmtId="0" fontId="6" fillId="2" borderId="8" xfId="0" applyNumberFormat="1" applyFont="1" applyFill="1" applyBorder="1" applyAlignment="1">
      <x:alignment vertical="center" wrapText="1"/>
    </x:xf>
    <x:xf numFmtId="201" fontId="6" fillId="2" borderId="8" xfId="0" applyNumberFormat="1" applyFont="1" applyFill="1" applyBorder="1" applyAlignment="1">
      <x:alignment vertical="center" wrapText="1"/>
    </x:xf>
    <x:xf numFmtId="200" fontId="6" fillId="2" borderId="8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/>
    </x:xf>
    <x:xf numFmtId="202" fontId="4" fillId="6" borderId="0" xfId="0" applyNumberFormat="1" applyFont="1" applyFill="1" applyBorder="1" applyAlignment="1">
      <x:alignment vertical="center"/>
    </x:xf>
    <x:xf numFmtId="202" fontId="4" fillId="6" borderId="0" xfId="0" applyNumberFormat="1" applyFont="1" applyFill="1" applyBorder="1" applyAlignment="1">
      <x:alignment vertical="center" wrapText="1"/>
    </x:xf>
    <x:xf numFmtId="202" fontId="4" fillId="6" borderId="0" xfId="0" applyNumberFormat="1" applyFont="1" applyFill="1" applyBorder="1" applyAlignment="1">
      <x:alignment vertical="top" wrapText="1"/>
    </x:xf>
    <x:xf numFmtId="202" fontId="4" fillId="6" borderId="7" xfId="0" applyNumberFormat="1" applyFont="1" applyFill="1" applyBorder="1" applyAlignment="1">
      <x:alignment vertical="top" wrapText="1"/>
    </x:xf>
    <x:xf numFmtId="202" fontId="4" fillId="6" borderId="2" xfId="0" applyNumberFormat="1" applyFont="1" applyFill="1" applyBorder="1" applyAlignment="1">
      <x:alignment vertical="top" wrapText="1"/>
    </x:xf>
    <x:xf numFmtId="202" fontId="4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cf84c1a5f4da0" /><Relationship Type="http://schemas.openxmlformats.org/officeDocument/2006/relationships/theme" Target="/xl/theme/theme1.xml" Id="Rbdb6cd7d31b3466f" /><Relationship Type="http://schemas.openxmlformats.org/officeDocument/2006/relationships/sharedStrings" Target="/xl/sharedStrings.xml" Id="R97b5fd89e38d4af2" /><Relationship Type="http://schemas.openxmlformats.org/officeDocument/2006/relationships/worksheet" Target="/xl/worksheets/sheet1.xml" Id="R8eaaf150735f4fdb" /><Relationship Type="http://schemas.openxmlformats.org/officeDocument/2006/relationships/worksheet" Target="/xl/worksheets/sheet2.xml" Id="R7a100abcebc54511" /><Relationship Type="http://schemas.openxmlformats.org/officeDocument/2006/relationships/worksheet" Target="/xl/worksheets/sheet3.xml" Id="Ra08ce3b08ef8489b" /><Relationship Type="http://schemas.openxmlformats.org/officeDocument/2006/relationships/worksheet" Target="/xl/worksheets/sheet4.xml" Id="Rc79400b1bf9248c2" /><Relationship Type="http://schemas.openxmlformats.org/officeDocument/2006/relationships/worksheet" Target="/xl/worksheets/sheet5.xml" Id="Rebaf5e3401f443c6" /><Relationship Type="http://schemas.openxmlformats.org/officeDocument/2006/relationships/worksheet" Target="/xl/worksheets/sheet6.xml" Id="Reb03d26cfc344a6e" /></Relationships>
</file>

<file path=xl/tables/table1.xml><?xml version="1.0" encoding="utf-8"?>
<x:table xmlns:x="http://schemas.openxmlformats.org/spreadsheetml/2006/main" id="1" name="AgendaTabla" displayName="AgendaTabla" ref="A4:I40" headerRowCount="1" totalsRowCount="0" totalsRowShown="0">
  <x:tableColumns count="9">
    <x:tableColumn id="1" name="Día"/>
    <x:tableColumn id="2" name="Hora"/>
    <x:tableColumn id="3" name="Duración (min)"/>
    <x:tableColumn id="4" name="Bloque"/>
    <x:tableColumn id="5" name="Propósito de aprendizaje"/>
    <x:tableColumn id="6" name="Guía para facilitar"/>
    <x:tableColumn id="7" name="Evidencia a recoger"/>
    <x:tableColumn id="8" name="Preparación y cuidado"/>
    <x:tableColumn id="9" name="Notas del facilitad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roRetos" displayName="RegistroRetos" ref="A16:L96" headerRowCount="1" totalsRowCount="0" totalsRowShown="0">
  <x:tableColumns count="12">
    <x:tableColumn id="1" name="Equipo"/>
    <x:tableColumn id="2" name="Día"/>
    <x:tableColumn id="3" name="Reto"/>
    <x:tableColumn id="4" name="Tarea comparable"/>
    <x:tableColumn id="5" name="Min sin IA por unidad"/>
    <x:tableColumn id="6" name="Min con IA por unidad"/>
    <x:tableColumn id="7" name="Unidades"/>
    <x:tableColumn id="8" name="Calidad validada"/>
    <x:tableColumn id="9" name="Revisión humana"/>
    <x:tableColumn id="10" name="Visto bueno facilitador"/>
    <x:tableColumn id="11" name="Evidencia o prompts"/>
    <x:tableColumn id="12" name="Horas acreditad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ticipantesTabla" displayName="ParticipantesTabla" ref="A4:K44" headerRowCount="1" totalsRowCount="0" totalsRowShown="0">
  <x:tableColumns count="11">
    <x:tableColumn id="1" name="Código"/>
    <x:tableColumn id="2" name="Nombre (opcional)"/>
    <x:tableColumn id="3" name="Área o dependencia"/>
    <x:tableColumn id="4" name="Confianza digital (1–4)"/>
    <x:tableColumn id="5" name="Asistencia Día 1"/>
    <x:tableColumn id="6" name="Asistencia Día 2"/>
    <x:tableColumn id="7" name="Asistencia Día 3"/>
    <x:tableColumn id="8" name="Asistencia Día 4"/>
    <x:tableColumn id="9" name="Proceso que desea mejorar"/>
    <x:tableColumn id="10" name="Requiere acompañamiento"/>
    <x:tableColumn id="11" name="Nota logística no sensib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nsferenciaTabla" displayName="TransferenciaTabla" ref="A4:O44" headerRowCount="1" totalsRowCount="0" totalsRowShown="0">
  <x:tableColumns count="15">
    <x:tableColumn id="1" name="Código"/>
    <x:tableColumn id="2" name="Área"/>
    <x:tableColumn id="3" name="Proceso elegido"/>
    <x:tableColumn id="4" name="Min sin IA por unidad"/>
    <x:tableColumn id="5" name="Min con IA por unidad"/>
    <x:tableColumn id="6" name="Unidades por semana"/>
    <x:tableColumn id="7" name="Calidad validada"/>
    <x:tableColumn id="8" name="Revisión humana completada"/>
    <x:tableColumn id="9" name="Ahorro proyectado en 4 semanas (h)"/>
    <x:tableColumn id="10" name="Primer paso"/>
    <x:tableColumn id="11" name="Responsable del proceso"/>
    <x:tableColumn id="12" name="Fecha del piloto"/>
    <x:tableColumn id="13" name="Revisión a 30 días"/>
    <x:tableColumn id="14" name="Evidencia o cambio observado"/>
    <x:tableColumn id="15" name="Riesgo o límite a vigil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fcc098c9c84b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9ec0c5e4134e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ca17174f2b42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11468bdf1cf4b11" /></Relationships>
</file>

<file path=xl/worksheets/sheet1.xml><?xml version="1.0" encoding="utf-8"?>
<x:worksheet xmlns:x="http://schemas.openxmlformats.org/spreadsheetml/2006/main">
  <x:sheetPr>
    <x:tabColor rgb="FF17493E"/>
  </x:sheetPr>
  <x:sheetViews>
    <x:sheetView showGridLines="0" workbookViewId="0"/>
  </x:sheetViews>
  <x:sheetFormatPr defaultRowHeight="15"/>
  <x:cols>
    <x:col min="1" max="1" width="31" hidden="0" customWidth="1"/>
    <x:col min="2" max="2" width="35" hidden="0" customWidth="1"/>
    <x:col min="3" max="3" width="40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7" customHeight="1">
      <x:c r="A1" s="9" t="str">
        <x:v>Plan de facilitación | Inmersión administrativa en IA</x:v>
      </x:c>
      <x:c r="B1" s="10"/>
      <x:c r="C1" s="10"/>
      <x:c r="D1" s="10"/>
      <x:c r="E1" s="10"/>
      <x:c r="F1" s="10"/>
    </x:row>
    <x:row r="2" ht="30" customHeight="1">
      <x:c r="A2" s="7" t="str">
        <x:v>SENA Bogotá · 4 días · 07:00 a 19:00 · Base: cronograma compartido por el facilitador</x:v>
      </x:c>
      <x:c r="B2" s="10"/>
      <x:c r="C2" s="10"/>
      <x:c r="D2" s="10"/>
      <x:c r="E2" s="10"/>
      <x:c r="F2" s="10"/>
    </x:row>
    <x:row r="3">
      <x:c r="A3" s="11"/>
      <x:c r="B3" s="11"/>
      <x:c r="C3" s="11"/>
      <x:c r="D3" s="11"/>
      <x:c r="E3" s="11"/>
      <x:c r="F3" s="11"/>
    </x:row>
    <x:row r="4">
      <x:c r="A4" s="14" t="str">
        <x:v>Control del curso</x:v>
      </x:c>
      <x:c r="B4" s="15"/>
      <x:c r="C4" s="16"/>
      <x:c r="D4" s="11"/>
      <x:c r="E4" s="11"/>
      <x:c r="F4" s="11"/>
    </x:row>
    <x:row r="5">
      <x:c r="A5" s="25" t="str">
        <x:v>Indicador</x:v>
      </x:c>
      <x:c r="B5" s="26" t="str">
        <x:v>Resultado</x:v>
      </x:c>
      <x:c r="C5" s="27" t="str">
        <x:v>Lectura</x:v>
      </x:c>
      <x:c r="D5" s="11"/>
      <x:c r="E5" s="11"/>
      <x:c r="F5" s="11"/>
    </x:row>
    <x:row r="6">
      <x:c r="A6" s="32" t="str">
        <x:v>Bloques de agenda</x:v>
      </x:c>
      <x:c r="B6" s="33" t="n">
        <x:f>COUNTA('Agenda'!$A$5:$A$40)</x:f>
        <x:v>36</x:v>
      </x:c>
      <x:c r="C6" s="34" t="str">
        <x:v>Incluye pausas y almuerzos.</x:v>
      </x:c>
      <x:c r="D6" s="11"/>
      <x:c r="E6" s="11"/>
      <x:c r="F6" s="11"/>
    </x:row>
    <x:row r="7">
      <x:c r="A7" s="35" t="str">
        <x:v>Participantes registrados</x:v>
      </x:c>
      <x:c r="B7" s="36" t="n">
        <x:f>COUNTA('Participantes'!$A$5:$A$44)</x:f>
        <x:v>0</x:v>
      </x:c>
      <x:c r="C7" s="37" t="str">
        <x:v>La lista admite hasta 40 personas.</x:v>
      </x:c>
      <x:c r="D7" s="11"/>
      <x:c r="E7" s="11"/>
      <x:c r="F7" s="11"/>
    </x:row>
    <x:row r="8">
      <x:c r="A8" s="35" t="str">
        <x:v>Retos con validación completa</x:v>
      </x:c>
      <x:c r="B8" s="36" t="n">
        <x:f>COUNT('Bóveda'!$L$17:$L$96)</x:f>
        <x:v>0</x:v>
      </x:c>
      <x:c r="C8" s="37" t="str">
        <x:v>Calidad, revisión humana y visto bueno.</x:v>
      </x:c>
      <x:c r="D8" s="11"/>
      <x:c r="E8" s="11"/>
      <x:c r="F8" s="11"/>
    </x:row>
    <x:row r="9">
      <x:c r="A9" s="35" t="str">
        <x:v>Horas acreditadas en La Bóveda</x:v>
      </x:c>
      <x:c r="B9" s="41" t="n">
        <x:f>SUM('Bóveda'!$L$17:$L$96)</x:f>
        <x:v>0</x:v>
      </x:c>
      <x:c r="C9" s="37" t="str">
        <x:v>Solo cuenta registros completamente validados.</x:v>
      </x:c>
      <x:c r="D9" s="11"/>
      <x:c r="E9" s="11"/>
      <x:c r="F9" s="11"/>
    </x:row>
    <x:row r="10">
      <x:c r="A10" s="38" t="str">
        <x:v>Procesos con compromiso registrado</x:v>
      </x:c>
      <x:c r="B10" s="39" t="n">
        <x:f>COUNTIFS('Transferencia'!$A$5:$A$44,"&lt;&gt;",'Transferencia'!$C$5:$C$44,"&lt;&gt;")</x:f>
        <x:v>0</x:v>
      </x:c>
      <x:c r="C10" s="40" t="str">
        <x:v>Compromisos individuales para seguimiento.</x:v>
      </x:c>
      <x:c r="D10" s="11"/>
      <x:c r="E10" s="11"/>
      <x:c r="F10" s="11"/>
    </x:row>
    <x:row r="11">
      <x:c r="A11" s="11"/>
      <x:c r="B11" s="11"/>
      <x:c r="C11" s="11"/>
      <x:c r="D11" s="11"/>
      <x:c r="E11" s="11"/>
      <x:c r="F11" s="11"/>
    </x:row>
    <x:row r="12">
      <x:c r="A12" s="14" t="str">
        <x:v>Cómo usar la bitácora</x:v>
      </x:c>
      <x:c r="B12" s="15"/>
      <x:c r="C12" s="15"/>
      <x:c r="D12" s="15"/>
      <x:c r="E12" s="15"/>
      <x:c r="F12" s="16"/>
    </x:row>
    <x:row r="13" ht="32" customHeight="1">
      <x:c r="A13" s="42" t="str">
        <x:v>1. Antes de clase</x:v>
      </x:c>
      <x:c r="B13" s="43" t="str">
        <x:v>Confirma accesos, licencias, permisos y datos sintéticos para las prácticas.</x:v>
      </x:c>
      <x:c r="C13" s="43"/>
      <x:c r="D13" s="43"/>
      <x:c r="E13" s="43"/>
      <x:c r="F13" s="43"/>
    </x:row>
    <x:row r="14" ht="32" customHeight="1">
      <x:c r="A14" s="42" t="str">
        <x:v>2. Durante cada bloque</x:v>
      </x:c>
      <x:c r="B14" s="43" t="str">
        <x:v>Sigue la agenda. Recoge el producto visible y anota ajustes en la última columna.</x:v>
      </x:c>
      <x:c r="C14" s="43"/>
      <x:c r="D14" s="43"/>
      <x:c r="E14" s="43"/>
      <x:c r="F14" s="43"/>
    </x:row>
    <x:row r="15" ht="32" customHeight="1">
      <x:c r="A15" s="42" t="str">
        <x:v>3. Al cerrar un reto</x:v>
      </x:c>
      <x:c r="B15" s="43" t="str">
        <x:v>Registra una tarea comparable en Bóveda. El ahorro se acredita solo tras todas las validaciones.</x:v>
      </x:c>
      <x:c r="C15" s="43"/>
      <x:c r="D15" s="43"/>
      <x:c r="E15" s="43"/>
      <x:c r="F15" s="43"/>
    </x:row>
    <x:row r="16" ht="32" customHeight="1">
      <x:c r="A16" s="42" t="str">
        <x:v>4. Después del curso</x:v>
      </x:c>
      <x:c r="B16" s="43" t="str">
        <x:v>Acuerda un piloto de puesto por participante y revisa evidencia a los 30 días.</x:v>
      </x:c>
      <x:c r="C16" s="43"/>
      <x:c r="D16" s="43"/>
      <x:c r="E16" s="43"/>
      <x:c r="F16" s="43"/>
    </x:row>
    <x:row r="17">
      <x:c r="A17" s="11"/>
      <x:c r="B17" s="11"/>
      <x:c r="C17" s="11"/>
      <x:c r="D17" s="11"/>
      <x:c r="E17" s="11"/>
      <x:c r="F17" s="11"/>
    </x:row>
    <x:row r="18">
      <x:c r="A18" s="14" t="str">
        <x:v>Resultado esperado por día</x:v>
      </x:c>
      <x:c r="B18" s="15"/>
      <x:c r="C18" s="16"/>
      <x:c r="D18" s="11"/>
      <x:c r="E18" s="11"/>
      <x:c r="F18" s="11"/>
    </x:row>
    <x:row r="19">
      <x:c r="A19" s="25" t="str">
        <x:v>Día</x:v>
      </x:c>
      <x:c r="B19" s="26" t="str">
        <x:v>Foco</x:v>
      </x:c>
      <x:c r="C19" s="27" t="str">
        <x:v>Evidencia de salida</x:v>
      </x:c>
      <x:c r="D19" s="11"/>
      <x:c r="E19" s="11"/>
      <x:c r="F19" s="11"/>
    </x:row>
    <x:row r="20" ht="34" customHeight="1">
      <x:c r="A20" s="44" t="str">
        <x:v>Día 1</x:v>
      </x:c>
      <x:c r="B20" s="44" t="str">
        <x:v>Prompts y gestión de texto</x:v>
      </x:c>
      <x:c r="C20" s="44" t="str">
        <x:v>Prompt reutilizable y documentos resumidos con fuentes verificadas.</x:v>
      </x:c>
      <x:c r="D20" s="11"/>
      <x:c r="E20" s="11"/>
      <x:c r="F20" s="11"/>
    </x:row>
    <x:row r="21" ht="34" customHeight="1">
      <x:c r="A21" s="45" t="str">
        <x:v>Día 2</x:v>
      </x:c>
      <x:c r="B21" s="45" t="str">
        <x:v>Comunicación y documentación</x:v>
      </x:c>
      <x:c r="C21" s="45" t="str">
        <x:v>Borradores de correo, acta y plan listos para revisión humana.</x:v>
      </x:c>
      <x:c r="D21" s="11"/>
      <x:c r="E21" s="11"/>
      <x:c r="F21" s="11"/>
    </x:row>
    <x:row r="22" ht="34" customHeight="1">
      <x:c r="A22" s="45" t="str">
        <x:v>Día 3</x:v>
      </x:c>
      <x:c r="B22" s="45" t="str">
        <x:v>Datos y presentación</x:v>
      </x:c>
      <x:c r="C22" s="45" t="str">
        <x:v>Base depurada, cálculos comprobados y conclusiones con límites explícitos.</x:v>
      </x:c>
      <x:c r="D22" s="11"/>
      <x:c r="E22" s="11"/>
      <x:c r="F22" s="11"/>
    </x:row>
    <x:row r="23" ht="34" customHeight="1">
      <x:c r="A23" s="46" t="str">
        <x:v>Día 4</x:v>
      </x:c>
      <x:c r="B23" s="46" t="str">
        <x:v>Integración y transferencia</x:v>
      </x:c>
      <x:c r="C23" s="46" t="str">
        <x:v>Solución sustentada, puntuación transparente y piloto de puesto acordado.</x:v>
      </x:c>
      <x:c r="D23" s="11"/>
      <x:c r="E23" s="11"/>
      <x:c r="F23" s="11"/>
    </x:row>
    <x:row r="24">
      <x:c r="A24" s="11"/>
      <x:c r="B24" s="11"/>
      <x:c r="C24" s="11"/>
      <x:c r="D24" s="11"/>
      <x:c r="E24" s="11"/>
      <x:c r="F24" s="11"/>
    </x:row>
    <x:row r="25">
      <x:c r="A25" s="14" t="str">
        <x:v>Preparación y uso responsable</x:v>
      </x:c>
      <x:c r="B25" s="15"/>
      <x:c r="C25" s="15"/>
      <x:c r="D25" s="15"/>
      <x:c r="E25" s="15"/>
      <x:c r="F25" s="16"/>
    </x:row>
    <x:row r="26" ht="28" customHeight="1">
      <x:c r="A26" s="56" t="str">
        <x:v>Confirma antes de clase qué herramientas y tipos de información autoriza el SENA. Usa datos ficticios o material público para las prácticas. No cargues PQRS reales, datos personales, credenciales ni expedientes contractuales a servicios de IA sin autorización institucional. Todo borrador, cálculo y recomendación requiere verificación humana antes de cualquier uso oficial.</x:v>
      </x:c>
      <x:c r="B26" s="57"/>
      <x:c r="C26" s="57"/>
      <x:c r="D26" s="57"/>
      <x:c r="E26" s="57"/>
      <x:c r="F26" s="58"/>
    </x:row>
    <x:row r="27" ht="28" customHeight="1">
      <x:c r="A27" s="59"/>
      <x:c r="B27" s="60"/>
      <x:c r="C27" s="60"/>
      <x:c r="D27" s="60"/>
      <x:c r="E27" s="60"/>
      <x:c r="F27" s="61"/>
    </x:row>
    <x:row r="28" ht="28" customHeight="1">
      <x:c r="A28" s="62"/>
      <x:c r="B28" s="63"/>
      <x:c r="C28" s="63"/>
      <x:c r="D28" s="63"/>
      <x:c r="E28" s="63"/>
      <x:c r="F28" s="64"/>
    </x:row>
    <x:row r="29">
      <x:c r="A29" s="11"/>
      <x:c r="B29" s="11"/>
      <x:c r="C29" s="11"/>
      <x:c r="D29" s="11"/>
      <x:c r="E29" s="11"/>
      <x:c r="F29" s="11"/>
    </x:row>
    <x:row r="30" ht="24" customHeight="1">
      <x:c r="A30" s="66" t="str">
        <x:v>Capacidad inicial del archivo: 40 registros de participantes y 8 equipos. Ajusta las filas y nombres según el tamaño real del grupo. Las cuentas, licencias y funciones pueden variar entre participantes.</x:v>
      </x:c>
      <x:c r="B30" s="66"/>
      <x:c r="C30" s="66"/>
      <x:c r="D30" s="66"/>
      <x:c r="E30" s="66"/>
      <x:c r="F30" s="66"/>
    </x:row>
    <x:row r="31" ht="24" customHeight="1">
      <x:c r="A31" s="66"/>
      <x:c r="B31" s="66"/>
      <x:c r="C31" s="66"/>
      <x:c r="D31" s="66"/>
      <x:c r="E31" s="66"/>
      <x:c r="F31" s="66"/>
    </x:row>
    <x:row r="32">
      <x:c r="A32" s="11"/>
      <x:c r="B32" s="11"/>
      <x:c r="C32" s="11"/>
      <x:c r="D32" s="11"/>
      <x:c r="E32" s="11"/>
      <x:c r="F32" s="11"/>
    </x:row>
    <x:row r="33">
      <x:c r="A33" s="11"/>
      <x:c r="B33" s="11"/>
      <x:c r="C33" s="11"/>
      <x:c r="D33" s="11"/>
      <x:c r="E33" s="11"/>
      <x:c r="F33" s="11"/>
    </x:row>
    <x:row r="34">
      <x:c r="A34" s="11"/>
      <x:c r="B34" s="11"/>
      <x:c r="C34" s="11"/>
      <x:c r="D34" s="11"/>
      <x:c r="E34" s="11"/>
      <x:c r="F34" s="11"/>
    </x:row>
    <x:row r="35">
      <x:c r="A35" s="11"/>
      <x:c r="B35" s="11"/>
      <x:c r="C35" s="11"/>
      <x:c r="D35" s="11"/>
      <x:c r="E35" s="11"/>
      <x:c r="F35" s="11"/>
    </x:row>
    <x:row r="36">
      <x:c r="A36" s="11"/>
      <x:c r="B36" s="11"/>
      <x:c r="C36" s="11"/>
      <x:c r="D36" s="11"/>
      <x:c r="E36" s="11"/>
      <x:c r="F36" s="11"/>
    </x:row>
    <x:row r="37">
      <x:c r="A37" s="11"/>
      <x:c r="B37" s="11"/>
      <x:c r="C37" s="11"/>
      <x:c r="D37" s="11"/>
      <x:c r="E37" s="11"/>
      <x:c r="F37" s="11"/>
    </x:row>
    <x:row r="38">
      <x:c r="A38" s="11"/>
      <x:c r="B38" s="11"/>
      <x:c r="C38" s="11"/>
      <x:c r="D38" s="11"/>
      <x:c r="E38" s="11"/>
      <x:c r="F38" s="11"/>
    </x:row>
    <x:row r="39">
      <x:c r="A39" s="11"/>
      <x:c r="B39" s="11"/>
      <x:c r="C39" s="11"/>
      <x:c r="D39" s="11"/>
      <x:c r="E39" s="11"/>
      <x:c r="F39" s="11"/>
    </x:row>
    <x:row r="40">
      <x:c r="A40" s="11"/>
      <x:c r="B40" s="11"/>
      <x:c r="C40" s="11"/>
      <x:c r="D40" s="11"/>
      <x:c r="E40" s="11"/>
      <x:c r="F40" s="11"/>
    </x:row>
    <x:row r="41">
      <x:c r="A41" s="11"/>
      <x:c r="B41" s="11"/>
      <x:c r="C41" s="11"/>
      <x:c r="D41" s="11"/>
      <x:c r="E41" s="11"/>
      <x:c r="F41" s="11"/>
    </x:row>
    <x:row r="42">
      <x:c r="A42" s="11"/>
      <x:c r="B42" s="11"/>
      <x:c r="C42" s="11"/>
      <x:c r="D42" s="11"/>
      <x:c r="E42" s="11"/>
      <x:c r="F42" s="11"/>
    </x:row>
    <x:row r="43">
      <x:c r="A43" s="11"/>
      <x:c r="B43" s="11"/>
      <x:c r="C43" s="11"/>
      <x:c r="D43" s="11"/>
      <x:c r="E43" s="11"/>
      <x:c r="F43" s="11"/>
    </x:row>
    <x:row r="44">
      <x:c r="A44" s="11"/>
      <x:c r="B44" s="11"/>
      <x:c r="C44" s="11"/>
      <x:c r="D44" s="11"/>
      <x:c r="E44" s="11"/>
      <x:c r="F44" s="11"/>
    </x:row>
    <x:row r="45">
      <x:c r="A45" s="11"/>
      <x:c r="B45" s="11"/>
      <x:c r="C45" s="11"/>
      <x:c r="D45" s="11"/>
      <x:c r="E45" s="11"/>
      <x:c r="F45" s="11"/>
    </x:row>
    <x:row r="46">
      <x:c r="A46" s="11"/>
      <x:c r="B46" s="11"/>
      <x:c r="C46" s="11"/>
      <x:c r="D46" s="11"/>
      <x:c r="E46" s="11"/>
      <x:c r="F46" s="11"/>
    </x:row>
    <x:row r="47">
      <x:c r="A47" s="11"/>
      <x:c r="B47" s="11"/>
      <x:c r="C47" s="11"/>
      <x:c r="D47" s="11"/>
      <x:c r="E47" s="11"/>
      <x:c r="F47" s="11"/>
    </x:row>
    <x:row r="48">
      <x:c r="A48" s="11"/>
      <x:c r="B48" s="11"/>
      <x:c r="C48" s="11"/>
      <x:c r="D48" s="11"/>
      <x:c r="E48" s="11"/>
      <x:c r="F48" s="11"/>
    </x:row>
    <x:row r="49">
      <x:c r="A49" s="11"/>
      <x:c r="B49" s="11"/>
      <x:c r="C49" s="11"/>
      <x:c r="D49" s="11"/>
      <x:c r="E49" s="11"/>
      <x:c r="F49" s="11"/>
    </x:row>
    <x:row r="50">
      <x:c r="A50" s="11"/>
      <x:c r="B50" s="11"/>
      <x:c r="C50" s="11"/>
      <x:c r="D50" s="11"/>
      <x:c r="E50" s="11"/>
      <x:c r="F50" s="11"/>
    </x:row>
    <x:row r="51">
      <x:c r="A51" s="11"/>
      <x:c r="B51" s="11"/>
      <x:c r="C51" s="11"/>
      <x:c r="D51" s="11"/>
      <x:c r="E51" s="11"/>
      <x:c r="F51" s="11"/>
    </x:row>
    <x:row r="52">
      <x:c r="A52" s="11"/>
      <x:c r="B52" s="11"/>
      <x:c r="C52" s="11"/>
      <x:c r="D52" s="11"/>
      <x:c r="E52" s="11"/>
      <x:c r="F52" s="11"/>
    </x:row>
    <x:row r="53">
      <x:c r="A53" s="11"/>
      <x:c r="B53" s="11"/>
      <x:c r="C53" s="11"/>
      <x:c r="D53" s="11"/>
      <x:c r="E53" s="11"/>
      <x:c r="F53" s="11"/>
    </x:row>
    <x:row r="54">
      <x:c r="A54" s="11"/>
      <x:c r="B54" s="11"/>
      <x:c r="C54" s="11"/>
      <x:c r="D54" s="11"/>
      <x:c r="E54" s="11"/>
      <x:c r="F54" s="11"/>
    </x:row>
    <x:row r="55">
      <x:c r="A55" s="11"/>
      <x:c r="B55" s="11"/>
      <x:c r="C55" s="11"/>
      <x:c r="D55" s="11"/>
      <x:c r="E55" s="11"/>
      <x:c r="F55" s="11"/>
    </x:row>
    <x:row r="56">
      <x:c r="A56" s="11"/>
      <x:c r="B56" s="11"/>
      <x:c r="C56" s="11"/>
      <x:c r="D56" s="11"/>
      <x:c r="E56" s="11"/>
      <x:c r="F56" s="11"/>
    </x:row>
    <x:row r="57">
      <x:c r="A57" s="11"/>
      <x:c r="B57" s="11"/>
      <x:c r="C57" s="11"/>
      <x:c r="D57" s="11"/>
      <x:c r="E57" s="11"/>
      <x:c r="F57" s="11"/>
    </x:row>
    <x:row r="58">
      <x:c r="A58" s="11"/>
      <x:c r="B58" s="11"/>
      <x:c r="C58" s="11"/>
      <x:c r="D58" s="11"/>
      <x:c r="E58" s="11"/>
      <x:c r="F58" s="11"/>
    </x:row>
    <x:row r="59">
      <x:c r="A59" s="11"/>
      <x:c r="B59" s="11"/>
      <x:c r="C59" s="11"/>
      <x:c r="D59" s="11"/>
      <x:c r="E59" s="11"/>
      <x:c r="F59" s="11"/>
    </x:row>
    <x:row r="60">
      <x:c r="A60" s="11"/>
      <x:c r="B60" s="11"/>
      <x:c r="C60" s="11"/>
      <x:c r="D60" s="11"/>
      <x:c r="E60" s="11"/>
      <x:c r="F60" s="11"/>
    </x:row>
    <x:row r="61">
      <x:c r="A61" s="11"/>
      <x:c r="B61" s="11"/>
      <x:c r="C61" s="11"/>
      <x:c r="D61" s="11"/>
      <x:c r="E61" s="11"/>
      <x:c r="F61" s="11"/>
    </x:row>
    <x:row r="62">
      <x:c r="A62" s="11"/>
      <x:c r="B62" s="11"/>
      <x:c r="C62" s="11"/>
      <x:c r="D62" s="11"/>
      <x:c r="E62" s="11"/>
      <x:c r="F62" s="11"/>
    </x:row>
    <x:row r="63">
      <x:c r="A63" s="11"/>
      <x:c r="B63" s="11"/>
      <x:c r="C63" s="11"/>
      <x:c r="D63" s="11"/>
      <x:c r="E63" s="11"/>
      <x:c r="F63" s="11"/>
    </x:row>
    <x:row r="64">
      <x:c r="A64" s="11"/>
      <x:c r="B64" s="11"/>
      <x:c r="C64" s="11"/>
      <x:c r="D64" s="11"/>
      <x:c r="E64" s="11"/>
      <x:c r="F64" s="11"/>
    </x:row>
    <x:row r="65">
      <x:c r="A65" s="11"/>
      <x:c r="B65" s="11"/>
      <x:c r="C65" s="11"/>
      <x:c r="D65" s="11"/>
      <x:c r="E65" s="11"/>
      <x:c r="F65" s="11"/>
    </x:row>
    <x:row r="66">
      <x:c r="A66" s="11"/>
      <x:c r="B66" s="11"/>
      <x:c r="C66" s="11"/>
      <x:c r="D66" s="11"/>
      <x:c r="E66" s="11"/>
      <x:c r="F66" s="11"/>
    </x:row>
    <x:row r="67">
      <x:c r="A67" s="11"/>
      <x:c r="B67" s="11"/>
      <x:c r="C67" s="11"/>
      <x:c r="D67" s="11"/>
      <x:c r="E67" s="11"/>
      <x:c r="F67" s="11"/>
    </x:row>
    <x:row r="68">
      <x:c r="A68" s="11"/>
      <x:c r="B68" s="11"/>
      <x:c r="C68" s="11"/>
      <x:c r="D68" s="11"/>
      <x:c r="E68" s="11"/>
      <x:c r="F68" s="11"/>
    </x:row>
    <x:row r="69">
      <x:c r="A69" s="11"/>
      <x:c r="B69" s="11"/>
      <x:c r="C69" s="11"/>
      <x:c r="D69" s="11"/>
      <x:c r="E69" s="11"/>
      <x:c r="F69" s="11"/>
    </x:row>
    <x:row r="70">
      <x:c r="A70" s="11"/>
      <x:c r="B70" s="11"/>
      <x:c r="C70" s="11"/>
      <x:c r="D70" s="11"/>
      <x:c r="E70" s="11"/>
      <x:c r="F70" s="11"/>
    </x:row>
    <x:row r="71">
      <x:c r="A71" s="11"/>
      <x:c r="B71" s="11"/>
      <x:c r="C71" s="11"/>
      <x:c r="D71" s="11"/>
      <x:c r="E71" s="11"/>
      <x:c r="F71" s="11"/>
    </x:row>
    <x:row r="72">
      <x:c r="A72" s="11"/>
      <x:c r="B72" s="11"/>
      <x:c r="C72" s="11"/>
      <x:c r="D72" s="11"/>
      <x:c r="E72" s="11"/>
      <x:c r="F72" s="11"/>
    </x:row>
    <x:row r="73">
      <x:c r="A73" s="11"/>
      <x:c r="B73" s="11"/>
      <x:c r="C73" s="11"/>
      <x:c r="D73" s="11"/>
      <x:c r="E73" s="11"/>
      <x:c r="F73" s="11"/>
    </x:row>
    <x:row r="74">
      <x:c r="A74" s="11"/>
      <x:c r="B74" s="11"/>
      <x:c r="C74" s="11"/>
      <x:c r="D74" s="11"/>
      <x:c r="E74" s="11"/>
      <x:c r="F74" s="11"/>
    </x:row>
    <x:row r="75">
      <x:c r="A75" s="11"/>
      <x:c r="B75" s="11"/>
      <x:c r="C75" s="11"/>
      <x:c r="D75" s="11"/>
      <x:c r="E75" s="11"/>
      <x:c r="F75" s="11"/>
    </x:row>
    <x:row r="76">
      <x:c r="A76" s="11"/>
      <x:c r="B76" s="11"/>
      <x:c r="C76" s="11"/>
      <x:c r="D76" s="11"/>
      <x:c r="E76" s="11"/>
      <x:c r="F76" s="11"/>
    </x:row>
    <x:row r="77">
      <x:c r="A77" s="11"/>
      <x:c r="B77" s="11"/>
      <x:c r="C77" s="11"/>
      <x:c r="D77" s="11"/>
      <x:c r="E77" s="11"/>
      <x:c r="F77" s="11"/>
    </x:row>
    <x:row r="78">
      <x:c r="A78" s="11"/>
      <x:c r="B78" s="11"/>
      <x:c r="C78" s="11"/>
      <x:c r="D78" s="11"/>
      <x:c r="E78" s="11"/>
      <x:c r="F78" s="11"/>
    </x:row>
    <x:row r="79">
      <x:c r="A79" s="11"/>
      <x:c r="B79" s="11"/>
      <x:c r="C79" s="11"/>
      <x:c r="D79" s="11"/>
      <x:c r="E79" s="11"/>
      <x:c r="F79" s="11"/>
    </x:row>
    <x:row r="80">
      <x:c r="A80" s="11"/>
      <x:c r="B80" s="11"/>
      <x:c r="C80" s="11"/>
      <x:c r="D80" s="11"/>
      <x:c r="E80" s="11"/>
      <x:c r="F80" s="11"/>
    </x:row>
    <x:row r="81">
      <x:c r="A81" s="11"/>
      <x:c r="B81" s="11"/>
      <x:c r="C81" s="11"/>
      <x:c r="D81" s="11"/>
      <x:c r="E81" s="11"/>
      <x:c r="F81" s="11"/>
    </x:row>
    <x:row r="82">
      <x:c r="A82" s="11"/>
      <x:c r="B82" s="11"/>
      <x:c r="C82" s="11"/>
      <x:c r="D82" s="11"/>
      <x:c r="E82" s="11"/>
      <x:c r="F82" s="11"/>
    </x:row>
    <x:row r="83">
      <x:c r="A83" s="11"/>
      <x:c r="B83" s="11"/>
      <x:c r="C83" s="11"/>
      <x:c r="D83" s="11"/>
      <x:c r="E83" s="11"/>
      <x:c r="F83" s="11"/>
    </x:row>
    <x:row r="84">
      <x:c r="A84" s="11"/>
      <x:c r="B84" s="11"/>
      <x:c r="C84" s="11"/>
      <x:c r="D84" s="11"/>
      <x:c r="E84" s="11"/>
      <x:c r="F84" s="11"/>
    </x:row>
    <x:row r="85">
      <x:c r="A85" s="11"/>
      <x:c r="B85" s="11"/>
      <x:c r="C85" s="11"/>
      <x:c r="D85" s="11"/>
      <x:c r="E85" s="11"/>
      <x:c r="F85" s="11"/>
    </x:row>
    <x:row r="86">
      <x:c r="A86" s="11"/>
      <x:c r="B86" s="11"/>
      <x:c r="C86" s="11"/>
      <x:c r="D86" s="11"/>
      <x:c r="E86" s="11"/>
      <x:c r="F86" s="11"/>
    </x:row>
    <x:row r="87">
      <x:c r="A87" s="11"/>
      <x:c r="B87" s="11"/>
      <x:c r="C87" s="11"/>
      <x:c r="D87" s="11"/>
      <x:c r="E87" s="11"/>
      <x:c r="F87" s="11"/>
    </x:row>
    <x:row r="88">
      <x:c r="A88" s="11"/>
      <x:c r="B88" s="11"/>
      <x:c r="C88" s="11"/>
      <x:c r="D88" s="11"/>
      <x:c r="E88" s="11"/>
      <x:c r="F88" s="11"/>
    </x:row>
    <x:row r="89">
      <x:c r="A89" s="11"/>
      <x:c r="B89" s="11"/>
      <x:c r="C89" s="11"/>
      <x:c r="D89" s="11"/>
      <x:c r="E89" s="11"/>
      <x:c r="F89" s="11"/>
    </x:row>
    <x:row r="90">
      <x:c r="A90" s="11"/>
      <x:c r="B90" s="11"/>
      <x:c r="C90" s="11"/>
      <x:c r="D90" s="11"/>
      <x:c r="E90" s="11"/>
      <x:c r="F90" s="11"/>
    </x:row>
    <x:row r="91">
      <x:c r="A91" s="11"/>
      <x:c r="B91" s="11"/>
      <x:c r="C91" s="11"/>
      <x:c r="D91" s="11"/>
      <x:c r="E91" s="11"/>
      <x:c r="F91" s="11"/>
    </x:row>
    <x:row r="92">
      <x:c r="A92" s="11"/>
      <x:c r="B92" s="11"/>
      <x:c r="C92" s="11"/>
      <x:c r="D92" s="11"/>
      <x:c r="E92" s="11"/>
      <x:c r="F92" s="11"/>
    </x:row>
    <x:row r="93">
      <x:c r="A93" s="11"/>
      <x:c r="B93" s="11"/>
      <x:c r="C93" s="11"/>
      <x:c r="D93" s="11"/>
      <x:c r="E93" s="11"/>
      <x:c r="F93" s="11"/>
    </x:row>
    <x:row r="94">
      <x:c r="A94" s="11"/>
      <x:c r="B94" s="11"/>
      <x:c r="C94" s="11"/>
      <x:c r="D94" s="11"/>
      <x:c r="E94" s="11"/>
      <x:c r="F94" s="11"/>
    </x:row>
    <x:row r="95">
      <x:c r="A95" s="11"/>
      <x:c r="B95" s="11"/>
      <x:c r="C95" s="11"/>
      <x:c r="D95" s="11"/>
      <x:c r="E95" s="11"/>
      <x:c r="F95" s="11"/>
    </x:row>
    <x:row r="96">
      <x:c r="A96" s="11"/>
      <x:c r="B96" s="11"/>
      <x:c r="C96" s="11"/>
      <x:c r="D96" s="11"/>
      <x:c r="E96" s="11"/>
      <x:c r="F96" s="11"/>
    </x:row>
    <x:row r="97">
      <x:c r="A97" s="11"/>
      <x:c r="B97" s="11"/>
      <x:c r="C97" s="11"/>
      <x:c r="D97" s="11"/>
      <x:c r="E97" s="11"/>
      <x:c r="F97" s="11"/>
    </x:row>
    <x:row r="98">
      <x:c r="A98" s="11"/>
      <x:c r="B98" s="11"/>
      <x:c r="C98" s="11"/>
      <x:c r="D98" s="11"/>
      <x:c r="E98" s="11"/>
      <x:c r="F98" s="11"/>
    </x:row>
    <x:row r="99">
      <x:c r="A99" s="11"/>
      <x:c r="B99" s="11"/>
      <x:c r="C99" s="11"/>
      <x:c r="D99" s="11"/>
      <x:c r="E99" s="11"/>
      <x:c r="F99" s="11"/>
    </x:row>
    <x:row r="100">
      <x:c r="A100" s="11"/>
      <x:c r="B100" s="11"/>
      <x:c r="C100" s="11"/>
      <x:c r="D100" s="11"/>
      <x:c r="E100" s="11"/>
      <x:c r="F100" s="11"/>
    </x:row>
  </x:sheetData>
  <x:mergeCells>
    <x:mergeCell ref="B13:F13"/>
    <x:mergeCell ref="B14:F14"/>
    <x:mergeCell ref="B15:F15"/>
    <x:mergeCell ref="B16:F16"/>
    <x:mergeCell ref="A26:F26"/>
    <x:mergeCell ref="A27:F27"/>
    <x:mergeCell ref="A28:F28"/>
    <x:mergeCell ref="A30:F30"/>
    <x:mergeCell ref="A31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86A5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4" hidden="0" customWidth="1"/>
    <x:col min="4" max="4" width="34" hidden="0" customWidth="1"/>
    <x:col min="5" max="5" width="43" hidden="0" customWidth="1"/>
    <x:col min="6" max="6" width="58" hidden="0" customWidth="1"/>
    <x:col min="7" max="7" width="40" hidden="0" customWidth="1"/>
    <x:col min="8" max="8" width="48" hidden="0" customWidth="1"/>
    <x:col min="9" max="9" width="34" hidden="0" customWidth="1"/>
  </x:cols>
  <x:sheetData>
    <x:row r="1" ht="27" customHeight="1">
      <x:c r="A1" s="9" t="str">
        <x:v>Agenda de facilitación</x:v>
      </x:c>
      <x:c r="B1" s="10"/>
      <x:c r="C1" s="10"/>
      <x:c r="D1" s="10"/>
      <x:c r="E1" s="10"/>
      <x:c r="F1" s="10"/>
      <x:c r="G1" s="10"/>
      <x:c r="H1" s="10"/>
      <x:c r="I1" s="10"/>
    </x:row>
    <x:row r="2" ht="30" customHeight="1">
      <x:c r="A2" s="7" t="str">
        <x:v>36 bloques adaptados del cronograma propuesto. La columna final queda disponible para notas del día.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</x:row>
    <x:row r="4" ht="38" customHeight="1">
      <x:c r="A4" s="25" t="str">
        <x:v>Día</x:v>
      </x:c>
      <x:c r="B4" s="26" t="str">
        <x:v>Hora</x:v>
      </x:c>
      <x:c r="C4" s="26" t="str">
        <x:v>Duración (min)</x:v>
      </x:c>
      <x:c r="D4" s="26" t="str">
        <x:v>Bloque</x:v>
      </x:c>
      <x:c r="E4" s="26" t="str">
        <x:v>Propósito de aprendizaje</x:v>
      </x:c>
      <x:c r="F4" s="26" t="str">
        <x:v>Guía para facilitar</x:v>
      </x:c>
      <x:c r="G4" s="26" t="str">
        <x:v>Evidencia a recoger</x:v>
      </x:c>
      <x:c r="H4" s="26" t="str">
        <x:v>Preparación y cuidado</x:v>
      </x:c>
      <x:c r="I4" s="27" t="str">
        <x:v>Notas del facilitador</x:v>
      </x:c>
    </x:row>
    <x:row r="5" ht="64" customHeight="1">
      <x:c r="A5" s="71" t="str">
        <x:v>Día 1</x:v>
      </x:c>
      <x:c r="B5" s="71" t="str">
        <x:v>07:00–08:30</x:v>
      </x:c>
      <x:c r="C5" s="72" t="n">
        <x:v>90</x:v>
      </x:c>
      <x:c r="D5" s="73" t="str">
        <x:v>Apertura: IA en el trabajo administrativo</x:v>
      </x:c>
      <x:c r="E5" s="73" t="str">
        <x:v>Reconocer dónde puede apoyar la IA y reducir la resistencia mediante un caso cercano al trabajo del SENA.</x:v>
      </x:c>
      <x:c r="F5" s="73" t="str">
        <x:v>Demuestra cómo clasificar 50 PQRS ficticias. Compara el primer resultado con los criterios humanos. Pide a cada persona que nombre una tarea repetitiva.</x:v>
      </x:c>
      <x:c r="G5" s="73" t="str">
        <x:v>Lista de tareas candidatas y una medición inicial de tiempo para una tarea representativa.</x:v>
      </x:c>
      <x:c r="H5" s="73" t="str">
        <x:v>Prepara PQRS sintéticas, proyector y acceso de prueba a una herramienta autorizada. No uses casos ciudadanos reales.</x:v>
      </x:c>
      <x:c r="I5" s="74" t="str"/>
    </x:row>
    <x:row r="6" ht="64" customHeight="1">
      <x:c r="A6" s="75" t="str">
        <x:v>Día 1</x:v>
      </x:c>
      <x:c r="B6" s="75" t="str">
        <x:v>08:30–10:00</x:v>
      </x:c>
      <x:c r="C6" s="76" t="n">
        <x:v>90</x:v>
      </x:c>
      <x:c r="D6" s="77" t="str">
        <x:v>Reto 1: Prompt Engineering 101</x:v>
      </x:c>
      <x:c r="E6" s="77" t="str">
        <x:v>Estructurar solicitudes con Contexto, Rol, Tarea y Tono.</x:v>
      </x:c>
      <x:c r="F6" s="77" t="str">
        <x:v>Modela CRTT en voz alta. Entrega un prompt incompleto y deja que parejas lo mejoren con una guía pública o un caso ficticio de contratación.</x:v>
      </x:c>
      <x:c r="G6" s="77" t="str">
        <x:v>Prompt inicial y versión mejorada con criterios de verificación.</x:v>
      </x:c>
      <x:c r="H6" s="77" t="str">
        <x:v>Confirma conexión y prepara un extracto público o ficticio. Pide citar la fuente y verificar vigencia; la IA no reemplaza el criterio jurídico.</x:v>
      </x:c>
      <x:c r="I6" s="78" t="str"/>
    </x:row>
    <x:row r="7" ht="64" customHeight="1">
      <x:c r="A7" s="75" t="str">
        <x:v>Día 1</x:v>
      </x:c>
      <x:c r="B7" s="75" t="str">
        <x:v>10:00–10:30</x:v>
      </x:c>
      <x:c r="C7" s="76" t="n">
        <x:v>30</x:v>
      </x:c>
      <x:c r="D7" s="77" t="str">
        <x:v>Pausa activa</x:v>
      </x:c>
      <x:c r="E7" s="77" t="str">
        <x:v>Descansar la vista y cambiar de postura.</x:v>
      </x:c>
      <x:c r="F7" s="77" t="str">
        <x:v>Guía estiramiento breve, hidratación y desconexión de pantalla.</x:v>
      </x:c>
      <x:c r="G7" s="77" t="str">
        <x:v>Pausa realizada.</x:v>
      </x:c>
      <x:c r="H7" s="77" t="str">
        <x:v>Deja visible la hora de regreso.</x:v>
      </x:c>
      <x:c r="I7" s="78" t="str"/>
    </x:row>
    <x:row r="8" ht="64" customHeight="1">
      <x:c r="A8" s="75" t="str">
        <x:v>Día 1</x:v>
      </x:c>
      <x:c r="B8" s="75" t="str">
        <x:v>10:30–12:30</x:v>
      </x:c>
      <x:c r="C8" s="76" t="n">
        <x:v>120</x:v>
      </x:c>
      <x:c r="D8" s="77" t="str">
        <x:v>Reto 2: El teléfono roto de las PQRS</x:v>
      </x:c>
      <x:c r="E8" s="77" t="str">
        <x:v>Iterar instrucciones y revisar exactitud, tono y límites de una respuesta asistida.</x:v>
      </x:c>
      <x:c r="F8" s="77" t="str">
        <x:v>En equipos intergeneracionales, entrega una PQRS sintética con redacción confusa. Pide una respuesta borrador y una lista de dudas que deben resolver personas.</x:v>
      </x:c>
      <x:c r="G8" s="77" t="str">
        <x:v>Borrador, prompt usado, número de iteraciones y lista de verificaciones humanas.</x:v>
      </x:c>
      <x:c r="H8" s="77" t="str">
        <x:v>No uses derechos de petición reales ni datos personales. Aclara que ningún borrador sale de la actividad como respuesta oficial.</x:v>
      </x:c>
      <x:c r="I8" s="78" t="str"/>
    </x:row>
    <x:row r="9" ht="64" customHeight="1">
      <x:c r="A9" s="75" t="str">
        <x:v>Día 1</x:v>
      </x:c>
      <x:c r="B9" s="75" t="str">
        <x:v>12:30–14:00</x:v>
      </x:c>
      <x:c r="C9" s="76" t="n">
        <x:v>90</x:v>
      </x:c>
      <x:c r="D9" s="77" t="str">
        <x:v>Almuerzo</x:v>
      </x:c>
      <x:c r="E9" s="77" t="str">
        <x:v>Recuperar energía.</x:v>
      </x:c>
      <x:c r="F9" s="77" t="str">
        <x:v>Reanuda el trabajo a las 14:00.</x:v>
      </x:c>
      <x:c r="G9" s="77" t="str">
        <x:v>Almuerzo realizado.</x:v>
      </x:c>
      <x:c r="H9" s="77" t="str">
        <x:v>Proyecta la hora de regreso.</x:v>
      </x:c>
      <x:c r="I9" s="78" t="str"/>
    </x:row>
    <x:row r="10" ht="64" customHeight="1">
      <x:c r="A10" s="75" t="str">
        <x:v>Día 1</x:v>
      </x:c>
      <x:c r="B10" s="75" t="str">
        <x:v>14:00–16:00</x:v>
      </x:c>
      <x:c r="C10" s="76" t="n">
        <x:v>120</x:v>
      </x:c>
      <x:c r="D10" s="77" t="str">
        <x:v>Domando la burocracia: gestión de texto</x:v>
      </x:c>
      <x:c r="E10" s="77" t="str">
        <x:v>Resumir documentos y extraer fechas, responsabilidades y acciones.</x:v>
      </x:c>
      <x:c r="F10" s="77" t="str">
        <x:v>En parejas, solicita resumen ejecutivo y tabla de tareas. Contrasta cada dato con la página o fragmento de origen y marca lo que el documento no dice.</x:v>
      </x:c>
      <x:c r="G10" s="77" t="str">
        <x:v>Resumen, tabla de responsabilidades y referencias al documento fuente.</x:v>
      </x:c>
      <x:c r="H10" s="77" t="str">
        <x:v>Usa resoluciones públicas vigentes o documentos ficticios. No cargues documentos internos sin autorización institucional.</x:v>
      </x:c>
      <x:c r="I10" s="78" t="str"/>
    </x:row>
    <x:row r="11" ht="64" customHeight="1">
      <x:c r="A11" s="75" t="str">
        <x:v>Día 1</x:v>
      </x:c>
      <x:c r="B11" s="75" t="str">
        <x:v>16:00–16:30</x:v>
      </x:c>
      <x:c r="C11" s="76" t="n">
        <x:v>30</x:v>
      </x:c>
      <x:c r="D11" s="77" t="str">
        <x:v>Pausa activa</x:v>
      </x:c>
      <x:c r="E11" s="77" t="str">
        <x:v>Descansar la vista y cambiar de postura.</x:v>
      </x:c>
      <x:c r="F11" s="77" t="str">
        <x:v>Haz una pausa física y visual sin contenido nuevo.</x:v>
      </x:c>
      <x:c r="G11" s="77" t="str">
        <x:v>Pausa realizada.</x:v>
      </x:c>
      <x:c r="H11" s="77" t="str">
        <x:v>Deja visible la hora de regreso.</x:v>
      </x:c>
      <x:c r="I11" s="78" t="str"/>
    </x:row>
    <x:row r="12" ht="64" customHeight="1">
      <x:c r="A12" s="75" t="str">
        <x:v>Día 1</x:v>
      </x:c>
      <x:c r="B12" s="75" t="str">
        <x:v>16:30–18:30</x:v>
      </x:c>
      <x:c r="C12" s="76" t="n">
        <x:v>120</x:v>
      </x:c>
      <x:c r="D12" s="77" t="str">
        <x:v>Reto 3: Clonación de roles</x:v>
      </x:c>
      <x:c r="E12" s="77" t="str">
        <x:v>Crear una instrucción reutilizable para tareas frecuentes del puesto.</x:v>
      </x:c>
      <x:c r="F12" s="77" t="str">
        <x:v>Cada persona redacta un prompt maestro para su rol y lo prueba con tres situaciones simuladas. Pide delimitar tareas que requieren visto bueno humano.</x:v>
      </x:c>
      <x:c r="G12" s="77" t="str">
        <x:v>Prompt reutilizable con contexto, tareas permitidas, formato y límites.</x:v>
      </x:c>
      <x:c r="H12" s="77" t="str">
        <x:v>Evita introducir expedientes, datos de aprendices o credenciales. Verifica las funciones disponibles en las cuentas del grupo.</x:v>
      </x:c>
      <x:c r="I12" s="78" t="str"/>
    </x:row>
    <x:row r="13" ht="64" customHeight="1">
      <x:c r="A13" s="75" t="str">
        <x:v>Día 1</x:v>
      </x:c>
      <x:c r="B13" s="75" t="str">
        <x:v>18:30–19:00</x:v>
      </x:c>
      <x:c r="C13" s="76" t="n">
        <x:v>30</x:v>
      </x:c>
      <x:c r="D13" s="77" t="str">
        <x:v>Retrospectiva y Bóveda del Tiempo</x:v>
      </x:c>
      <x:c r="E13" s="77" t="str">
        <x:v>Consolidar el aprendizaje y registrar ahorro solo con evidencia comparable.</x:v>
      </x:c>
      <x:c r="F13" s="77" t="str">
        <x:v>Pide a cada equipo nombrar un aprendizaje, una duda y la evidencia del tiempo. Actualiza el marcador si se cumplieron las validaciones.</x:v>
      </x:c>
      <x:c r="G13" s="77" t="str">
        <x:v>Registro del reto y reflexión de cierre.</x:v>
      </x:c>
      <x:c r="H13" s="77" t="str">
        <x:v>Compara la misma tarea y unidad. No acredita ahorro si faltan calidad, revisión humana o visto bueno del facilitador.</x:v>
      </x:c>
      <x:c r="I13" s="78" t="str"/>
    </x:row>
    <x:row r="14" ht="64" customHeight="1">
      <x:c r="A14" s="75" t="str">
        <x:v>Día 2</x:v>
      </x:c>
      <x:c r="B14" s="75" t="str">
        <x:v>07:00–09:00</x:v>
      </x:c>
      <x:c r="C14" s="76" t="n">
        <x:v>120</x:v>
      </x:c>
      <x:c r="D14" s="77" t="str">
        <x:v>La bandeja de entrada inteligente</x:v>
      </x:c>
      <x:c r="E14" s="77" t="str">
        <x:v>Resumir conversaciones y redactar borradores con tono pertinente.</x:v>
      </x:c>
      <x:c r="F14" s="77" t="str">
        <x:v>Demuestra el resumen de un hilo simulado. Practiquen respuestas con tono conciliador y directivo; identifiquen hechos y compromisos antes de redactar.</x:v>
      </x:c>
      <x:c r="G14" s="77" t="str">
        <x:v>Resumen y borradores con tono adaptado y hechos verificados.</x:v>
      </x:c>
      <x:c r="H14" s="77" t="str">
        <x:v>Usa hilos ficticios o anonimizados y una cuenta autorizada. Los correos de práctica no se envían.</x:v>
      </x:c>
      <x:c r="I14" s="78" t="str"/>
    </x:row>
    <x:row r="15" ht="64" customHeight="1">
      <x:c r="A15" s="75" t="str">
        <x:v>Día 2</x:v>
      </x:c>
      <x:c r="B15" s="75" t="str">
        <x:v>09:00–10:00</x:v>
      </x:c>
      <x:c r="C15" s="76" t="n">
        <x:v>60</x:v>
      </x:c>
      <x:c r="D15" s="77" t="str">
        <x:v>Reto 4: Bandeja cero en tiempo récord</x:v>
      </x:c>
      <x:c r="E15" s="77" t="str">
        <x:v>Clasificar mensajes por urgencia y preparar respuestas para revisión.</x:v>
      </x:c>
      <x:c r="F15" s="77" t="str">
        <x:v>Entrega 50 correos simulados sobre cancelaciones, fallas y consultas. Los equipos priorizan 10 y preparan borradores sin enviarlos.</x:v>
      </x:c>
      <x:c r="G15" s="77" t="str">
        <x:v>Matriz de prioridad y 10 borradores con la razón de priorización.</x:v>
      </x:c>
      <x:c r="H15" s="77" t="str">
        <x:v>Genera mensajes ficticios. Revisa criterios de urgencia y separa prioridad sugerida de decisión institucional.</x:v>
      </x:c>
      <x:c r="I15" s="78" t="str"/>
    </x:row>
    <x:row r="16" ht="64" customHeight="1">
      <x:c r="A16" s="75" t="str">
        <x:v>Día 2</x:v>
      </x:c>
      <x:c r="B16" s="75" t="str">
        <x:v>10:00–10:30</x:v>
      </x:c>
      <x:c r="C16" s="76" t="n">
        <x:v>30</x:v>
      </x:c>
      <x:c r="D16" s="77" t="str">
        <x:v>Pausa activa</x:v>
      </x:c>
      <x:c r="E16" s="77" t="str">
        <x:v>Descansar la vista y cambiar de postura.</x:v>
      </x:c>
      <x:c r="F16" s="77" t="str">
        <x:v>Guía una pausa breve y retoma a las 10:30.</x:v>
      </x:c>
      <x:c r="G16" s="77" t="str">
        <x:v>Pausa realizada.</x:v>
      </x:c>
      <x:c r="H16" s="77" t="str">
        <x:v>Deja visible la hora de regreso.</x:v>
      </x:c>
      <x:c r="I16" s="78" t="str"/>
    </x:row>
    <x:row r="17" ht="64" customHeight="1">
      <x:c r="A17" s="75" t="str">
        <x:v>Día 2</x:v>
      </x:c>
      <x:c r="B17" s="75" t="str">
        <x:v>10:30–12:30</x:v>
      </x:c>
      <x:c r="C17" s="76" t="n">
        <x:v>120</x:v>
      </x:c>
      <x:c r="D17" s="77" t="str">
        <x:v>Documentación colaborativa y reuniones</x:v>
      </x:c>
      <x:c r="E17" s="77" t="str">
        <x:v>Convertir insumos autorizados en documentos de trabajo coherentes.</x:v>
      </x:c>
      <x:c r="F17" s="77" t="str">
        <x:v>Construyan un borrador en Word con un correo y un lineamiento de ejemplo. Revisa que cada sección tenga soporte y que los vacíos queden señalados.</x:v>
      </x:c>
      <x:c r="G17" s="77" t="str">
        <x:v>Borrador de plan con fuente, supuestos y puntos pendientes.</x:v>
      </x:c>
      <x:c r="H17" s="77" t="str">
        <x:v>Confirma licencias y funciones M365. Usa material público o ficticio si no hay permiso para cargar archivos institucionales.</x:v>
      </x:c>
      <x:c r="I17" s="78" t="str"/>
    </x:row>
    <x:row r="18" ht="64" customHeight="1">
      <x:c r="A18" s="75" t="str">
        <x:v>Día 2</x:v>
      </x:c>
      <x:c r="B18" s="75" t="str">
        <x:v>12:30–14:00</x:v>
      </x:c>
      <x:c r="C18" s="76" t="n">
        <x:v>90</x:v>
      </x:c>
      <x:c r="D18" s="77" t="str">
        <x:v>Almuerzo</x:v>
      </x:c>
      <x:c r="E18" s="77" t="str">
        <x:v>Recuperar energía.</x:v>
      </x:c>
      <x:c r="F18" s="77" t="str">
        <x:v>Reanuda el trabajo a las 14:00.</x:v>
      </x:c>
      <x:c r="G18" s="77" t="str">
        <x:v>Almuerzo realizado.</x:v>
      </x:c>
      <x:c r="H18" s="77" t="str">
        <x:v>Proyecta la hora de regreso.</x:v>
      </x:c>
      <x:c r="I18" s="78" t="str"/>
    </x:row>
    <x:row r="19" ht="64" customHeight="1">
      <x:c r="A19" s="75" t="str">
        <x:v>Día 2</x:v>
      </x:c>
      <x:c r="B19" s="75" t="str">
        <x:v>14:00–16:00</x:v>
      </x:c>
      <x:c r="C19" s="76" t="n">
        <x:v>120</x:v>
      </x:c>
      <x:c r="D19" s="77" t="str">
        <x:v>Reto 5: El acta imposible</x:v>
      </x:c>
      <x:c r="E19" s="77" t="str">
        <x:v>Extraer decisiones, compromisos, responsables y fechas de una reunión.</x:v>
      </x:c>
      <x:c r="F19" s="77" t="str">
        <x:v>Reproduce la reunión simulada y entrega la transcripción. En equipos, separan decisiones de conversación y marcan responsables o fechas que no aparecen.</x:v>
      </x:c>
      <x:c r="G19" s="77" t="str">
        <x:v>Acta, lista de compromisos y vacíos que requieren confirmación.</x:v>
      </x:c>
      <x:c r="H19" s="77" t="str">
        <x:v>Usa audio y transcripción sintéticos. No inventar responsables, acuerdos ni fechas faltantes.</x:v>
      </x:c>
      <x:c r="I19" s="78" t="str"/>
    </x:row>
    <x:row r="20" ht="64" customHeight="1">
      <x:c r="A20" s="75" t="str">
        <x:v>Día 2</x:v>
      </x:c>
      <x:c r="B20" s="75" t="str">
        <x:v>16:00–16:30</x:v>
      </x:c>
      <x:c r="C20" s="76" t="n">
        <x:v>30</x:v>
      </x:c>
      <x:c r="D20" s="77" t="str">
        <x:v>Pausa activa</x:v>
      </x:c>
      <x:c r="E20" s="77" t="str">
        <x:v>Descansar la vista y cambiar de postura.</x:v>
      </x:c>
      <x:c r="F20" s="77" t="str">
        <x:v>Haz una pausa sin pantalla.</x:v>
      </x:c>
      <x:c r="G20" s="77" t="str">
        <x:v>Pausa realizada.</x:v>
      </x:c>
      <x:c r="H20" s="77" t="str">
        <x:v>Deja visible la hora de regreso.</x:v>
      </x:c>
      <x:c r="I20" s="78" t="str"/>
    </x:row>
    <x:row r="21" ht="64" customHeight="1">
      <x:c r="A21" s="75" t="str">
        <x:v>Día 2</x:v>
      </x:c>
      <x:c r="B21" s="75" t="str">
        <x:v>16:30–18:30</x:v>
      </x:c>
      <x:c r="C21" s="76" t="n">
        <x:v>120</x:v>
      </x:c>
      <x:c r="D21" s="77" t="str">
        <x:v>Integración: el flujo de trabajo</x:v>
      </x:c>
      <x:c r="E21" s="77" t="str">
        <x:v>Conectar lectura, planeación y comunicación en una secuencia revisable.</x:v>
      </x:c>
      <x:c r="F21" s="77" t="str">
        <x:v>Con un mensaje simulado de dirección, resume el correo, arma el plan en Word y redacta el anuncio para Teams. Traza qué dato alimenta cada producto.</x:v>
      </x:c>
      <x:c r="G21" s="77" t="str">
        <x:v>Cadena correo–plan–anuncio con borradores y fuentes enlazadas.</x:v>
      </x:c>
      <x:c r="H21" s="77" t="str">
        <x:v>No publiques ni envíes borradores. Asigna una persona responsable de validar antes de cualquier uso real.</x:v>
      </x:c>
      <x:c r="I21" s="78" t="str"/>
    </x:row>
    <x:row r="22" ht="64" customHeight="1">
      <x:c r="A22" s="75" t="str">
        <x:v>Día 2</x:v>
      </x:c>
      <x:c r="B22" s="75" t="str">
        <x:v>18:30–19:00</x:v>
      </x:c>
      <x:c r="C22" s="76" t="n">
        <x:v>30</x:v>
      </x:c>
      <x:c r="D22" s="77" t="str">
        <x:v>Retrospectiva y Bóveda del Tiempo</x:v>
      </x:c>
      <x:c r="E22" s="77" t="str">
        <x:v>Reconocer qué paso redujo trabajo sin sacrificar calidad.</x:v>
      </x:c>
      <x:c r="F22" s="77" t="str">
        <x:v>Registra una evidencia por equipo y pregunta qué parte exigió más revisión humana.</x:v>
      </x:c>
      <x:c r="G22" s="77" t="str">
        <x:v>Registro del reto y aprendizaje del día.</x:v>
      </x:c>
      <x:c r="H22" s="77" t="str">
        <x:v>Aplica el mismo criterio de validación de ahorro del Día 1.</x:v>
      </x:c>
      <x:c r="I22" s="78" t="str"/>
    </x:row>
    <x:row r="23" ht="64" customHeight="1">
      <x:c r="A23" s="75" t="str">
        <x:v>Día 3</x:v>
      </x:c>
      <x:c r="B23" s="75" t="str">
        <x:v>07:00–09:00</x:v>
      </x:c>
      <x:c r="C23" s="76" t="n">
        <x:v>120</x:v>
      </x:c>
      <x:c r="D23" s="77" t="str">
        <x:v>Hablando con las celdas</x:v>
      </x:c>
      <x:c r="E23" s="77" t="str">
        <x:v>Usar lenguaje natural para explorar y transformar datos en Excel.</x:v>
      </x:c>
      <x:c r="F23" s="77" t="str">
        <x:v>Muestra cómo pedir una fórmula, una clasificación y un formato condicional. Pide a los aprendices explicar qué calcula la fórmula antes de aceptarla.</x:v>
      </x:c>
      <x:c r="G23" s="77" t="str">
        <x:v>Tabla de práctica y fórmula revisada con un cálculo de control.</x:v>
      </x:c>
      <x:c r="H23" s="77" t="str">
        <x:v>Entrega una copia de datos sintéticos. Comprueba fórmula, rango y resultado con un caso manual.</x:v>
      </x:c>
      <x:c r="I23" s="78" t="str"/>
    </x:row>
    <x:row r="24" ht="64" customHeight="1">
      <x:c r="A24" s="75" t="str">
        <x:v>Día 3</x:v>
      </x:c>
      <x:c r="B24" s="75" t="str">
        <x:v>09:00–10:00</x:v>
      </x:c>
      <x:c r="C24" s="76" t="n">
        <x:v>60</x:v>
      </x:c>
      <x:c r="D24" s="77" t="str">
        <x:v>Reto 6: El informe sucio</x:v>
      </x:c>
      <x:c r="E24" s="77" t="str">
        <x:v>Limpiar una tabla y conservar trazabilidad de los cambios.</x:v>
      </x:c>
      <x:c r="F24" s="77" t="str">
        <x:v>Entrega una exportación simulada con nombres, fechas y vacíos inconsistentes. Cada equipo limpia y documenta reglas aplicadas.</x:v>
      </x:c>
      <x:c r="G24" s="77" t="str">
        <x:v>Base estandarizada y lista de reglas de limpieza.</x:v>
      </x:c>
      <x:c r="H24" s="77" t="str">
        <x:v>No uses exportaciones reales de SOFIA Plus ni datos personales. Conserva una copia del original.</x:v>
      </x:c>
      <x:c r="I24" s="78" t="str"/>
    </x:row>
    <x:row r="25" ht="64" customHeight="1">
      <x:c r="A25" s="75" t="str">
        <x:v>Día 3</x:v>
      </x:c>
      <x:c r="B25" s="75" t="str">
        <x:v>10:00–10:30</x:v>
      </x:c>
      <x:c r="C25" s="76" t="n">
        <x:v>30</x:v>
      </x:c>
      <x:c r="D25" s="77" t="str">
        <x:v>Pausa activa</x:v>
      </x:c>
      <x:c r="E25" s="77" t="str">
        <x:v>Descansar la vista y cambiar de postura.</x:v>
      </x:c>
      <x:c r="F25" s="77" t="str">
        <x:v>Haz una pausa física y visual.</x:v>
      </x:c>
      <x:c r="G25" s="77" t="str">
        <x:v>Pausa realizada.</x:v>
      </x:c>
      <x:c r="H25" s="77" t="str">
        <x:v>Deja visible la hora de regreso.</x:v>
      </x:c>
      <x:c r="I25" s="78" t="str"/>
    </x:row>
    <x:row r="26" ht="64" customHeight="1">
      <x:c r="A26" s="75" t="str">
        <x:v>Día 3</x:v>
      </x:c>
      <x:c r="B26" s="75" t="str">
        <x:v>10:30–12:30</x:v>
      </x:c>
      <x:c r="C26" s="76" t="n">
        <x:v>120</x:v>
      </x:c>
      <x:c r="D26" s="77" t="str">
        <x:v>Visualización y preguntas estratégicas</x:v>
      </x:c>
      <x:c r="E26" s="77" t="str">
        <x:v>Formular preguntas claras y presentar comparaciones verificables.</x:v>
      </x:c>
      <x:c r="F26" s="77" t="str">
        <x:v>Con una base de ejemplo, exploren totales por centro y periodo. Revisen filtros, agregaciones y que el gráfico responda la pregunta.</x:v>
      </x:c>
      <x:c r="G26" s="77" t="str">
        <x:v>Gráfico y respuesta acompañados del filtro y el cálculo.</x:v>
      </x:c>
      <x:c r="H26" s="77" t="str">
        <x:v>Las bases deben ser ficticias o autorizadas. Contrasta totales con la tabla fuente.</x:v>
      </x:c>
      <x:c r="I26" s="78" t="str"/>
    </x:row>
    <x:row r="27" ht="64" customHeight="1">
      <x:c r="A27" s="75" t="str">
        <x:v>Día 3</x:v>
      </x:c>
      <x:c r="B27" s="75" t="str">
        <x:v>12:30–14:00</x:v>
      </x:c>
      <x:c r="C27" s="76" t="n">
        <x:v>90</x:v>
      </x:c>
      <x:c r="D27" s="77" t="str">
        <x:v>Almuerzo</x:v>
      </x:c>
      <x:c r="E27" s="77" t="str">
        <x:v>Recuperar energía.</x:v>
      </x:c>
      <x:c r="F27" s="77" t="str">
        <x:v>Reanuda el trabajo a las 14:00.</x:v>
      </x:c>
      <x:c r="G27" s="77" t="str">
        <x:v>Almuerzo realizado.</x:v>
      </x:c>
      <x:c r="H27" s="77" t="str">
        <x:v>Proyecta la hora de regreso.</x:v>
      </x:c>
      <x:c r="I27" s="78" t="str"/>
    </x:row>
    <x:row r="28" ht="64" customHeight="1">
      <x:c r="A28" s="75" t="str">
        <x:v>Día 3</x:v>
      </x:c>
      <x:c r="B28" s="75" t="str">
        <x:v>14:00–16:00</x:v>
      </x:c>
      <x:c r="C28" s="76" t="n">
        <x:v>120</x:v>
      </x:c>
      <x:c r="D28" s="77" t="str">
        <x:v>Reto 7: El presupuesto oculto</x:v>
      </x:c>
      <x:c r="E28" s="77" t="str">
        <x:v>Describir una relación entre variables sin afirmar causalidad sin evidencia.</x:v>
      </x:c>
      <x:c r="F28" s="77" t="str">
        <x:v>Entrega datos simulados de deserción y bienestar. Los equipos presentan tres hallazgos y explican límites, periodo y población analizada.</x:v>
      </x:c>
      <x:c r="G28" s="77" t="str">
        <x:v>Tres conclusiones ejecutivas con cálculos y límites visibles.</x:v>
      </x:c>
      <x:c r="H28" s="77" t="str">
        <x:v>Aclara que correlación no demuestra causalidad. Verifica denominadores, periodo y cálculos antes de presentar.</x:v>
      </x:c>
      <x:c r="I28" s="78" t="str"/>
    </x:row>
    <x:row r="29" ht="64" customHeight="1">
      <x:c r="A29" s="75" t="str">
        <x:v>Día 3</x:v>
      </x:c>
      <x:c r="B29" s="75" t="str">
        <x:v>16:00–16:30</x:v>
      </x:c>
      <x:c r="C29" s="76" t="n">
        <x:v>30</x:v>
      </x:c>
      <x:c r="D29" s="77" t="str">
        <x:v>Pausa activa</x:v>
      </x:c>
      <x:c r="E29" s="77" t="str">
        <x:v>Descansar la vista y cambiar de postura.</x:v>
      </x:c>
      <x:c r="F29" s="77" t="str">
        <x:v>Haz una pausa breve antes del taller de presentación.</x:v>
      </x:c>
      <x:c r="G29" s="77" t="str">
        <x:v>Pausa realizada.</x:v>
      </x:c>
      <x:c r="H29" s="77" t="str">
        <x:v>Deja visible la hora de regreso.</x:v>
      </x:c>
      <x:c r="I29" s="78" t="str"/>
    </x:row>
    <x:row r="30" ht="64" customHeight="1">
      <x:c r="A30" s="75" t="str">
        <x:v>Día 3</x:v>
      </x:c>
      <x:c r="B30" s="75" t="str">
        <x:v>16:30–18:30</x:v>
      </x:c>
      <x:c r="C30" s="76" t="n">
        <x:v>120</x:v>
      </x:c>
      <x:c r="D30" s="77" t="str">
        <x:v>Storytelling ejecutivo con IA</x:v>
      </x:c>
      <x:c r="E30" s="77" t="str">
        <x:v>Convertir hallazgos en una presentación breve y sustentada.</x:v>
      </x:c>
      <x:c r="F30" s="77" t="str">
        <x:v>A partir de las conclusiones, creen cinco diapositivas con notas del orador. Pide que cada afirmación pueda rastrearse a una tabla o cálculo.</x:v>
      </x:c>
      <x:c r="G30" s="77" t="str">
        <x:v>Presentación de cinco diapositivas con notas y fuente de datos.</x:v>
      </x:c>
      <x:c r="H30" s="77" t="str">
        <x:v>Confirma licencias. No publicar cifras sensibles ni imágenes que sugieran evidencia inexistente.</x:v>
      </x:c>
      <x:c r="I30" s="78" t="str"/>
    </x:row>
    <x:row r="31" ht="64" customHeight="1">
      <x:c r="A31" s="75" t="str">
        <x:v>Día 3</x:v>
      </x:c>
      <x:c r="B31" s="75" t="str">
        <x:v>18:30–19:00</x:v>
      </x:c>
      <x:c r="C31" s="76" t="n">
        <x:v>30</x:v>
      </x:c>
      <x:c r="D31" s="77" t="str">
        <x:v>Retrospectiva: alucinaciones numéricas</x:v>
      </x:c>
      <x:c r="E31" s="77" t="str">
        <x:v>Desarrollar hábitos de verificación al trabajar con cifras.</x:v>
      </x:c>
      <x:c r="F31" s="77" t="str">
        <x:v>Presenta un resultado erróneo intencional. El grupo identifica el cálculo, compara con la fuente y propone controles dobles.</x:v>
      </x:c>
      <x:c r="G31" s="77" t="str">
        <x:v>Lista de comprobación numérica para el hackathon.</x:v>
      </x:c>
      <x:c r="H31" s="77" t="str">
        <x:v>No usar respuestas de IA como única fuente de una cifra.</x:v>
      </x:c>
      <x:c r="I31" s="78" t="str"/>
    </x:row>
    <x:row r="32" ht="64" customHeight="1">
      <x:c r="A32" s="75" t="str">
        <x:v>Día 4</x:v>
      </x:c>
      <x:c r="B32" s="75" t="str">
        <x:v>07:00–08:00</x:v>
      </x:c>
      <x:c r="C32" s="76" t="n">
        <x:v>60</x:v>
      </x:c>
      <x:c r="D32" s="77" t="str">
        <x:v>Reglas y alineación de equipos</x:v>
      </x:c>
      <x:c r="E32" s="77" t="str">
        <x:v>Formar escuadrones y acordar criterios de evaluación.</x:v>
      </x:c>
      <x:c r="F32" s="77" t="str">
        <x:v>Organiza equipos diversos. Recorre la rúbrica, el registro de prompts y el criterio de ahorro verificable.</x:v>
      </x:c>
      <x:c r="G32" s="77" t="str">
        <x:v>Equipos y plan de trabajo inicial.</x:v>
      </x:c>
      <x:c r="H32" s="77" t="str">
        <x:v>Ajusta el número de equipos al grupo. Verifica acceso a herramientas y plan alterno sin licencias.</x:v>
      </x:c>
      <x:c r="I32" s="78" t="str"/>
    </x:row>
    <x:row r="33" ht="64" customHeight="1">
      <x:c r="A33" s="75" t="str">
        <x:v>Día 4</x:v>
      </x:c>
      <x:c r="B33" s="75" t="str">
        <x:v>08:00–10:00</x:v>
      </x:c>
      <x:c r="C33" s="76" t="n">
        <x:v>120</x:v>
      </x:c>
      <x:c r="D33" s="77" t="str">
        <x:v>Fase 1: planeación del caso</x:v>
      </x:c>
      <x:c r="E33" s="77" t="str">
        <x:v>Diseñar una respuesta estructurada ante una auditoría simulada.</x:v>
      </x:c>
      <x:c r="F33" s="77" t="str">
        <x:v>Presenta el caso ficticio de auditoría sobre contratación de instructores 2025. Cada equipo define entregables, fuentes requeridas, responsables y riesgos.</x:v>
      </x:c>
      <x:c r="G33" s="77" t="str">
        <x:v>Plan de trabajo priorizado y preguntas de verificación.</x:v>
      </x:c>
      <x:c r="H33" s="77" t="str">
        <x:v>Declara que el caso es simulado. No uses contratos, nombres ni datos reales de proveedores o instructores.</x:v>
      </x:c>
      <x:c r="I33" s="78" t="str"/>
    </x:row>
    <x:row r="34" ht="64" customHeight="1">
      <x:c r="A34" s="75" t="str">
        <x:v>Día 4</x:v>
      </x:c>
      <x:c r="B34" s="75" t="str">
        <x:v>10:00–10:30</x:v>
      </x:c>
      <x:c r="C34" s="76" t="n">
        <x:v>30</x:v>
      </x:c>
      <x:c r="D34" s="77" t="str">
        <x:v>Pausa activa</x:v>
      </x:c>
      <x:c r="E34" s="77" t="str">
        <x:v>Descansar y recuperar atención.</x:v>
      </x:c>
      <x:c r="F34" s="77" t="str">
        <x:v>Guía una pausa breve antes del trabajo concentrado.</x:v>
      </x:c>
      <x:c r="G34" s="77" t="str">
        <x:v>Pausa realizada.</x:v>
      </x:c>
      <x:c r="H34" s="77" t="str">
        <x:v>Deja visible la hora de regreso.</x:v>
      </x:c>
      <x:c r="I34" s="78" t="str"/>
    </x:row>
    <x:row r="35" ht="64" customHeight="1">
      <x:c r="A35" s="75" t="str">
        <x:v>Día 4</x:v>
      </x:c>
      <x:c r="B35" s="75" t="str">
        <x:v>10:30–12:30</x:v>
      </x:c>
      <x:c r="C35" s="76" t="n">
        <x:v>120</x:v>
      </x:c>
      <x:c r="D35" s="77" t="str">
        <x:v>Fase 2: ejecución y generación</x:v>
      </x:c>
      <x:c r="E35" s="77" t="str">
        <x:v>Producir insumos de análisis, informe y comunicación con revisión humana.</x:v>
      </x:c>
      <x:c r="F35" s="77" t="str">
        <x:v>Los equipos limpian la base simulada, preparan borradores de correo y montan el informe. Circula como mentor y pregunta por la fuente de cada afirmación.</x:v>
      </x:c>
      <x:c r="G35" s="77" t="str">
        <x:v>Base revisada, borradores y estructura del informe con evidencia.</x:v>
      </x:c>
      <x:c r="H35" s="77" t="str">
        <x:v>Datos ficticios únicamente. No presentar productos generados como documentos oficiales.</x:v>
      </x:c>
      <x:c r="I35" s="78" t="str"/>
    </x:row>
    <x:row r="36" ht="64" customHeight="1">
      <x:c r="A36" s="75" t="str">
        <x:v>Día 4</x:v>
      </x:c>
      <x:c r="B36" s="75" t="str">
        <x:v>12:30–14:00</x:v>
      </x:c>
      <x:c r="C36" s="76" t="n">
        <x:v>90</x:v>
      </x:c>
      <x:c r="D36" s="77" t="str">
        <x:v>Almuerzo</x:v>
      </x:c>
      <x:c r="E36" s="77" t="str">
        <x:v>Recuperar energía.</x:v>
      </x:c>
      <x:c r="F36" s="77" t="str">
        <x:v>Reanuda el trabajo a las 14:00.</x:v>
      </x:c>
      <x:c r="G36" s="77" t="str">
        <x:v>Almuerzo realizado.</x:v>
      </x:c>
      <x:c r="H36" s="77" t="str">
        <x:v>Proyecta la hora de regreso.</x:v>
      </x:c>
      <x:c r="I36" s="78" t="str"/>
    </x:row>
    <x:row r="37" ht="64" customHeight="1">
      <x:c r="A37" s="75" t="str">
        <x:v>Día 4</x:v>
      </x:c>
      <x:c r="B37" s="75" t="str">
        <x:v>14:00–16:00</x:v>
      </x:c>
      <x:c r="C37" s="76" t="n">
        <x:v>120</x:v>
      </x:c>
      <x:c r="D37" s="77" t="str">
        <x:v>Fase 3: presentación de soluciones</x:v>
      </x:c>
      <x:c r="E37" s="77" t="str">
        <x:v>Explicar el resultado, el uso de IA y las verificaciones realizadas.</x:v>
      </x:c>
      <x:c r="F37" s="77" t="str">
        <x:v>Cada equipo dispone de 15 minutos ante el rol de Dirección Regional. Solicita mostrar los prompts decisivos, cambios y puntos que requieren decisión humana.</x:v>
      </x:c>
      <x:c r="G37" s="77" t="str">
        <x:v>Presentación, prompts utilizados y evidencia del tiempo reportado.</x:v>
      </x:c>
      <x:c r="H37" s="77" t="str">
        <x:v>Puntúa con la rúbrica de la pestaña Hackathon. No premies velocidad si el producto requiere correcciones críticas.</x:v>
      </x:c>
      <x:c r="I37" s="78" t="str"/>
    </x:row>
    <x:row r="38" ht="64" customHeight="1">
      <x:c r="A38" s="75" t="str">
        <x:v>Día 4</x:v>
      </x:c>
      <x:c r="B38" s="75" t="str">
        <x:v>16:00–16:30</x:v>
      </x:c>
      <x:c r="C38" s="76" t="n">
        <x:v>30</x:v>
      </x:c>
      <x:c r="D38" s="77" t="str">
        <x:v>Pausa de celebración</x:v>
      </x:c>
      <x:c r="E38" s="77" t="str">
        <x:v>Reconocer el cierre de la actividad y preparar la evaluación.</x:v>
      </x:c>
      <x:c r="F38" s="77" t="str">
        <x:v>Deja tiempo de descanso antes de la retroalimentación.</x:v>
      </x:c>
      <x:c r="G38" s="77" t="str">
        <x:v>Pausa realizada.</x:v>
      </x:c>
      <x:c r="H38" s="77" t="str">
        <x:v>Confirma equipos evaluadores y hojas de puntuación.</x:v>
      </x:c>
      <x:c r="I38" s="78" t="str"/>
    </x:row>
    <x:row r="39" ht="64" customHeight="1">
      <x:c r="A39" s="75" t="str">
        <x:v>Día 4</x:v>
      </x:c>
      <x:c r="B39" s="75" t="str">
        <x:v>16:30–18:00</x:v>
      </x:c>
      <x:c r="C39" s="76" t="n">
        <x:v>90</x:v>
      </x:c>
      <x:c r="D39" s="77" t="str">
        <x:v>Evaluación, retroalimentación y premiación</x:v>
      </x:c>
      <x:c r="E39" s="77" t="str">
        <x:v>Dar retroalimentación clara y reconocer resultados verificables.</x:v>
      </x:c>
      <x:c r="F39" s="77" t="str">
        <x:v>Facilita evaluación cruzada. Cada jurado puntúa evidencias, comparte una fortaleza y una mejora concreta.</x:v>
      </x:c>
      <x:c r="G39" s="77" t="str">
        <x:v>Rúbricas diligenciadas y retroalimentación por equipo.</x:v>
      </x:c>
      <x:c r="H39" s="77" t="str">
        <x:v>Consolida puntajes en la pestaña Hackathon y explica los resultados con transparencia.</x:v>
      </x:c>
      <x:c r="I39" s="78" t="str"/>
    </x:row>
    <x:row r="40" ht="64" customHeight="1">
      <x:c r="A40" s="79" t="str">
        <x:v>Día 4</x:v>
      </x:c>
      <x:c r="B40" s="79" t="str">
        <x:v>18:00–19:00</x:v>
      </x:c>
      <x:c r="C40" s="80" t="n">
        <x:v>60</x:v>
      </x:c>
      <x:c r="D40" s="81" t="str">
        <x:v>Cierre y transferencia al puesto</x:v>
      </x:c>
      <x:c r="E40" s="81" t="str">
        <x:v>Acordar un piloto concreto para el siguiente mes.</x:v>
      </x:c>
      <x:c r="F40" s="81" t="str">
        <x:v>Cada participante define un proceso, tiempo base, prueba pequeña, responsable y fecha de revisión a 30 días.</x:v>
      </x:c>
      <x:c r="G40" s="81" t="str">
        <x:v>Compromiso de transferencia diligenciado y dueño del seguimiento.</x:v>
      </x:c>
      <x:c r="H40" s="81" t="str">
        <x:v>Registra solo datos necesarios. Confirma herramientas autorizadas antes del piloto real.</x:v>
      </x:c>
      <x:c r="I40" s="82" t="str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</x:row>
  </x:sheetData>
  <x:pageMargins left="0.7" right="0.7" top="0.75" bottom="0.75" header="0.3" footer="0.3"/>
  <x:tableParts count="1">
    <x:tablePart xmlns:r="http://schemas.openxmlformats.org/officeDocument/2006/relationships" r:id="R3ffcc098c9c84b38"/>
  </x:tableParts>
</x:worksheet>
</file>

<file path=xl/worksheets/sheet3.xml><?xml version="1.0" encoding="utf-8"?>
<x:worksheet xmlns:x="http://schemas.openxmlformats.org/spreadsheetml/2006/main">
  <x:sheetPr>
    <x:tabColor rgb="FFD1AD62"/>
  </x:sheetPr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6" hidden="0" customWidth="1"/>
    <x:col min="4" max="4" width="34" hidden="0" customWidth="1"/>
    <x:col min="5" max="5" width="19" hidden="0" customWidth="1"/>
    <x:col min="6" max="6" width="20" hidden="0" customWidth="1"/>
    <x:col min="7" max="7" width="12" hidden="0" customWidth="1"/>
    <x:col min="8" max="8" width="17" hidden="0" customWidth="1"/>
    <x:col min="9" max="9" width="17" hidden="0" customWidth="1"/>
    <x:col min="10" max="10" width="22" hidden="0" customWidth="1"/>
    <x:col min="11" max="11" width="42" hidden="0" customWidth="1"/>
    <x:col min="12" max="12" width="17" hidden="0" customWidth="1"/>
  </x:cols>
  <x:sheetData>
    <x:row r="1" ht="27" customHeight="1">
      <x:c r="A1" s="9" t="str">
        <x:v>La Bóveda del Tiempo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 ht="30" customHeight="1">
      <x:c r="A2" s="7" t="str">
        <x:v>Registro por equipo. Compara la misma tarea y unidad. El ahorro solo se acredita tras validar calidad, revisión humana y evidencia.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25" t="str">
        <x:v>Equipo</x:v>
      </x:c>
      <x:c r="B4" s="26" t="str">
        <x:v>Horas reconocidas</x:v>
      </x:c>
      <x:c r="C4" s="27" t="str">
        <x:v>Retos validados</x:v>
      </x:c>
      <x:c r="D4" s="25" t="str">
        <x:v>Día</x:v>
      </x:c>
      <x:c r="E4" s="26" t="str">
        <x:v>Horas reconocidas</x:v>
      </x:c>
      <x:c r="F4" s="27" t="str">
        <x:v>Retos validados</x:v>
      </x:c>
      <x:c r="G4" s="11"/>
      <x:c r="H4" s="11"/>
      <x:c r="I4" s="11"/>
      <x:c r="J4" s="11"/>
      <x:c r="K4" s="11"/>
      <x:c r="L4" s="11"/>
    </x:row>
    <x:row r="5">
      <x:c r="A5" s="85" t="str">
        <x:v>Equipo 1</x:v>
      </x:c>
      <x:c r="B5" s="86" t="n">
        <x:f>SUMIFS($L$17:$L$96,$A$17:$A$96,A5)</x:f>
        <x:v>0</x:v>
      </x:c>
      <x:c r="C5" s="87" t="n">
        <x:f>COUNTIFS($A$17:$A$96,A5,$L$17:$L$96,"&gt;=0")</x:f>
        <x:v>0</x:v>
      </x:c>
      <x:c r="D5" s="32" t="str">
        <x:v>Día 1</x:v>
      </x:c>
      <x:c r="E5" s="86" t="n">
        <x:f>SUMIFS($L$17:$L$96,$B$17:$B$96,D5)</x:f>
        <x:v>0</x:v>
      </x:c>
      <x:c r="F5" s="87" t="n">
        <x:f>COUNTIFS($B$17:$B$96,D5,$L$17:$L$96,"&gt;=0")</x:f>
        <x:v>0</x:v>
      </x:c>
      <x:c r="G5" s="11"/>
      <x:c r="H5" s="11"/>
      <x:c r="I5" s="11"/>
      <x:c r="J5" s="11"/>
      <x:c r="K5" s="11"/>
      <x:c r="L5" s="11"/>
    </x:row>
    <x:row r="6">
      <x:c r="A6" s="88" t="str">
        <x:v>Equipo 2</x:v>
      </x:c>
      <x:c r="B6" s="89" t="n">
        <x:f>SUMIFS($L$17:$L$96,$A$17:$A$96,A6)</x:f>
        <x:v>0</x:v>
      </x:c>
      <x:c r="C6" s="90" t="n">
        <x:f>COUNTIFS($A$17:$A$96,A6,$L$17:$L$96,"&gt;=0")</x:f>
        <x:v>0</x:v>
      </x:c>
      <x:c r="D6" s="35" t="str">
        <x:v>Día 2</x:v>
      </x:c>
      <x:c r="E6" s="89" t="n">
        <x:f>SUMIFS($L$17:$L$96,$B$17:$B$96,D6)</x:f>
        <x:v>0</x:v>
      </x:c>
      <x:c r="F6" s="90" t="n">
        <x:f>COUNTIFS($B$17:$B$96,D6,$L$17:$L$96,"&gt;=0")</x:f>
        <x:v>0</x:v>
      </x:c>
      <x:c r="G6" s="11"/>
      <x:c r="H6" s="11"/>
      <x:c r="I6" s="11"/>
      <x:c r="J6" s="11"/>
      <x:c r="K6" s="11"/>
      <x:c r="L6" s="11"/>
    </x:row>
    <x:row r="7">
      <x:c r="A7" s="88" t="str">
        <x:v>Equipo 3</x:v>
      </x:c>
      <x:c r="B7" s="89" t="n">
        <x:f>SUMIFS($L$17:$L$96,$A$17:$A$96,A7)</x:f>
        <x:v>0</x:v>
      </x:c>
      <x:c r="C7" s="90" t="n">
        <x:f>COUNTIFS($A$17:$A$96,A7,$L$17:$L$96,"&gt;=0")</x:f>
        <x:v>0</x:v>
      </x:c>
      <x:c r="D7" s="35" t="str">
        <x:v>Día 3</x:v>
      </x:c>
      <x:c r="E7" s="89" t="n">
        <x:f>SUMIFS($L$17:$L$96,$B$17:$B$96,D7)</x:f>
        <x:v>0</x:v>
      </x:c>
      <x:c r="F7" s="90" t="n">
        <x:f>COUNTIFS($B$17:$B$96,D7,$L$17:$L$96,"&gt;=0")</x:f>
        <x:v>0</x:v>
      </x:c>
      <x:c r="G7" s="11"/>
      <x:c r="H7" s="11"/>
      <x:c r="I7" s="11"/>
      <x:c r="J7" s="11"/>
      <x:c r="K7" s="11"/>
      <x:c r="L7" s="11"/>
    </x:row>
    <x:row r="8">
      <x:c r="A8" s="88" t="str">
        <x:v>Equipo 4</x:v>
      </x:c>
      <x:c r="B8" s="89" t="n">
        <x:f>SUMIFS($L$17:$L$96,$A$17:$A$96,A8)</x:f>
        <x:v>0</x:v>
      </x:c>
      <x:c r="C8" s="90" t="n">
        <x:f>COUNTIFS($A$17:$A$96,A8,$L$17:$L$96,"&gt;=0")</x:f>
        <x:v>0</x:v>
      </x:c>
      <x:c r="D8" s="38" t="str">
        <x:v>Día 4</x:v>
      </x:c>
      <x:c r="E8" s="92" t="n">
        <x:f>SUMIFS($L$17:$L$96,$B$17:$B$96,D8)</x:f>
        <x:v>0</x:v>
      </x:c>
      <x:c r="F8" s="93" t="n">
        <x:f>COUNTIFS($B$17:$B$96,D8,$L$17:$L$96,"&gt;=0")</x:f>
        <x:v>0</x:v>
      </x:c>
      <x:c r="G8" s="11"/>
      <x:c r="H8" s="11"/>
      <x:c r="I8" s="11"/>
      <x:c r="J8" s="11"/>
      <x:c r="K8" s="11"/>
      <x:c r="L8" s="11"/>
    </x:row>
    <x:row r="9">
      <x:c r="A9" s="88" t="str">
        <x:v>Equipo 5</x:v>
      </x:c>
      <x:c r="B9" s="89" t="n">
        <x:f>SUMIFS($L$17:$L$96,$A$17:$A$96,A9)</x:f>
        <x:v>0</x:v>
      </x:c>
      <x:c r="C9" s="90" t="n">
        <x:f>COUNTIFS($A$17:$A$96,A9,$L$17:$L$96,"&gt;=0")</x:f>
        <x:v>0</x:v>
      </x:c>
      <x:c r="D9" s="11"/>
      <x:c r="E9" s="11"/>
      <x:c r="F9" s="11"/>
      <x:c r="G9" s="11"/>
      <x:c r="H9" s="11"/>
      <x:c r="I9" s="11"/>
      <x:c r="J9" s="11"/>
      <x:c r="K9" s="11"/>
      <x:c r="L9" s="11"/>
    </x:row>
    <x:row r="10">
      <x:c r="A10" s="88" t="str">
        <x:v>Equipo 6</x:v>
      </x:c>
      <x:c r="B10" s="89" t="n">
        <x:f>SUMIFS($L$17:$L$96,$A$17:$A$96,A10)</x:f>
        <x:v>0</x:v>
      </x:c>
      <x:c r="C10" s="90" t="n">
        <x:f>COUNTIFS($A$17:$A$96,A10,$L$17:$L$96,"&gt;=0")</x:f>
        <x:v>0</x:v>
      </x:c>
      <x:c r="D10" s="11"/>
      <x:c r="E10" s="11"/>
      <x:c r="F10" s="11"/>
      <x:c r="G10" s="11"/>
      <x:c r="H10" s="11"/>
      <x:c r="I10" s="11"/>
      <x:c r="J10" s="11"/>
      <x:c r="K10" s="11"/>
      <x:c r="L10" s="11"/>
    </x:row>
    <x:row r="11">
      <x:c r="A11" s="88" t="str">
        <x:v>Equipo 7</x:v>
      </x:c>
      <x:c r="B11" s="89" t="n">
        <x:f>SUMIFS($L$17:$L$96,$A$17:$A$96,A11)</x:f>
        <x:v>0</x:v>
      </x:c>
      <x:c r="C11" s="90" t="n">
        <x:f>COUNTIFS($A$17:$A$96,A11,$L$17:$L$96,"&gt;=0")</x:f>
        <x:v>0</x:v>
      </x:c>
      <x:c r="D11" s="11"/>
      <x:c r="E11" s="11"/>
      <x:c r="F11" s="11"/>
      <x:c r="G11" s="11"/>
      <x:c r="H11" s="11"/>
      <x:c r="I11" s="11"/>
      <x:c r="J11" s="11"/>
      <x:c r="K11" s="11"/>
      <x:c r="L11" s="11"/>
    </x:row>
    <x:row r="12">
      <x:c r="A12" s="91" t="str">
        <x:v>Equipo 8</x:v>
      </x:c>
      <x:c r="B12" s="92" t="n">
        <x:f>SUMIFS($L$17:$L$96,$A$17:$A$96,A12)</x:f>
        <x:v>0</x:v>
      </x:c>
      <x:c r="C12" s="93" t="n">
        <x:f>COUNTIFS($A$17:$A$96,A12,$L$17:$L$96,"&gt;=0")</x:f>
        <x:v>0</x:v>
      </x:c>
      <x:c r="D12" s="11"/>
      <x:c r="E12" s="11"/>
      <x:c r="F12" s="11"/>
      <x:c r="G12" s="11"/>
      <x:c r="H12" s="11"/>
      <x:c r="I12" s="11"/>
      <x:c r="J12" s="11"/>
      <x:c r="K12" s="11"/>
      <x:c r="L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</x:row>
    <x:row r="14" ht="22" customHeight="1">
      <x:c r="A14" s="14" t="str">
        <x:v>Registro por reto</x:v>
      </x:c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6"/>
    </x:row>
    <x:row r="15" ht="28" customHeight="1">
      <x:c r="A15" s="66" t="str">
        <x:v>Escribe los minutos por la misma unidad de trabajo, tanto sin IA como con IA. Registra prompts o referencia de evidencia. Deja el visto bueno en No hasta completar la revisión.</x:v>
      </x:c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</x:row>
    <x:row r="16" ht="42" customHeight="1">
      <x:c r="A16" s="25" t="str">
        <x:v>Equipo</x:v>
      </x:c>
      <x:c r="B16" s="26" t="str">
        <x:v>Día</x:v>
      </x:c>
      <x:c r="C16" s="26" t="str">
        <x:v>Reto</x:v>
      </x:c>
      <x:c r="D16" s="26" t="str">
        <x:v>Tarea comparable</x:v>
      </x:c>
      <x:c r="E16" s="26" t="str">
        <x:v>Min sin IA por unidad</x:v>
      </x:c>
      <x:c r="F16" s="26" t="str">
        <x:v>Min con IA por unidad</x:v>
      </x:c>
      <x:c r="G16" s="26" t="str">
        <x:v>Unidades</x:v>
      </x:c>
      <x:c r="H16" s="26" t="str">
        <x:v>Calidad validada</x:v>
      </x:c>
      <x:c r="I16" s="26" t="str">
        <x:v>Revisión humana</x:v>
      </x:c>
      <x:c r="J16" s="26" t="str">
        <x:v>Visto bueno facilitador</x:v>
      </x:c>
      <x:c r="K16" s="26" t="str">
        <x:v>Evidencia o prompts</x:v>
      </x:c>
      <x:c r="L16" s="27" t="str">
        <x:v>Horas acreditadas</x:v>
      </x:c>
    </x:row>
    <x:row r="17" ht="30" customHeight="1">
      <x:c r="A17" s="74"/>
      <x:c r="B17" s="74"/>
      <x:c r="C17" s="74"/>
      <x:c r="D17" s="74"/>
      <x:c r="E17" s="100"/>
      <x:c r="F17" s="100"/>
      <x:c r="G17" s="100"/>
      <x:c r="H17" s="74"/>
      <x:c r="I17" s="74"/>
      <x:c r="J17" s="74"/>
      <x:c r="K17" s="74"/>
      <x:c r="L17" s="101" t="str">
        <x:f>IF(AND(A17&lt;&gt;"",B17&lt;&gt;"",C17&lt;&gt;"",D17&lt;&gt;"",ISNUMBER(E17),ISNUMBER(F17),ISNUMBER(G17),K17&lt;&gt;"",H17="Sí",I17="Sí",J17="Sí"),MAX(0,(E17-F17)*G17/60),"")</x:f>
      </x:c>
    </x:row>
    <x:row r="18" ht="30" customHeight="1">
      <x:c r="A18" s="78"/>
      <x:c r="B18" s="78"/>
      <x:c r="C18" s="78"/>
      <x:c r="D18" s="78"/>
      <x:c r="E18" s="102"/>
      <x:c r="F18" s="102"/>
      <x:c r="G18" s="102"/>
      <x:c r="H18" s="78"/>
      <x:c r="I18" s="78"/>
      <x:c r="J18" s="78"/>
      <x:c r="K18" s="78"/>
      <x:c r="L18" s="103" t="str">
        <x:f>IF(AND(A18&lt;&gt;"",B18&lt;&gt;"",C18&lt;&gt;"",D18&lt;&gt;"",ISNUMBER(E18),ISNUMBER(F18),ISNUMBER(G18),K18&lt;&gt;"",H18="Sí",I18="Sí",J18="Sí"),MAX(0,(E18-F18)*G18/60),"")</x:f>
      </x:c>
    </x:row>
    <x:row r="19" ht="30" customHeight="1">
      <x:c r="A19" s="78"/>
      <x:c r="B19" s="78"/>
      <x:c r="C19" s="78"/>
      <x:c r="D19" s="78"/>
      <x:c r="E19" s="102"/>
      <x:c r="F19" s="102"/>
      <x:c r="G19" s="102"/>
      <x:c r="H19" s="78"/>
      <x:c r="I19" s="78"/>
      <x:c r="J19" s="78"/>
      <x:c r="K19" s="78"/>
      <x:c r="L19" s="103" t="str">
        <x:f>IF(AND(A19&lt;&gt;"",B19&lt;&gt;"",C19&lt;&gt;"",D19&lt;&gt;"",ISNUMBER(E19),ISNUMBER(F19),ISNUMBER(G19),K19&lt;&gt;"",H19="Sí",I19="Sí",J19="Sí"),MAX(0,(E19-F19)*G19/60),"")</x:f>
      </x:c>
    </x:row>
    <x:row r="20" ht="30" customHeight="1">
      <x:c r="A20" s="78"/>
      <x:c r="B20" s="78"/>
      <x:c r="C20" s="78"/>
      <x:c r="D20" s="78"/>
      <x:c r="E20" s="102"/>
      <x:c r="F20" s="102"/>
      <x:c r="G20" s="102"/>
      <x:c r="H20" s="78"/>
      <x:c r="I20" s="78"/>
      <x:c r="J20" s="78"/>
      <x:c r="K20" s="78"/>
      <x:c r="L20" s="103" t="str">
        <x:f>IF(AND(A20&lt;&gt;"",B20&lt;&gt;"",C20&lt;&gt;"",D20&lt;&gt;"",ISNUMBER(E20),ISNUMBER(F20),ISNUMBER(G20),K20&lt;&gt;"",H20="Sí",I20="Sí",J20="Sí"),MAX(0,(E20-F20)*G20/60),"")</x:f>
      </x:c>
    </x:row>
    <x:row r="21" ht="30" customHeight="1">
      <x:c r="A21" s="78"/>
      <x:c r="B21" s="78"/>
      <x:c r="C21" s="78"/>
      <x:c r="D21" s="78"/>
      <x:c r="E21" s="102"/>
      <x:c r="F21" s="102"/>
      <x:c r="G21" s="102"/>
      <x:c r="H21" s="78"/>
      <x:c r="I21" s="78"/>
      <x:c r="J21" s="78"/>
      <x:c r="K21" s="78"/>
      <x:c r="L21" s="103" t="str">
        <x:f>IF(AND(A21&lt;&gt;"",B21&lt;&gt;"",C21&lt;&gt;"",D21&lt;&gt;"",ISNUMBER(E21),ISNUMBER(F21),ISNUMBER(G21),K21&lt;&gt;"",H21="Sí",I21="Sí",J21="Sí"),MAX(0,(E21-F21)*G21/60),"")</x:f>
      </x:c>
    </x:row>
    <x:row r="22" ht="30" customHeight="1">
      <x:c r="A22" s="78"/>
      <x:c r="B22" s="78"/>
      <x:c r="C22" s="78"/>
      <x:c r="D22" s="78"/>
      <x:c r="E22" s="102"/>
      <x:c r="F22" s="102"/>
      <x:c r="G22" s="102"/>
      <x:c r="H22" s="78"/>
      <x:c r="I22" s="78"/>
      <x:c r="J22" s="78"/>
      <x:c r="K22" s="78"/>
      <x:c r="L22" s="103" t="str">
        <x:f>IF(AND(A22&lt;&gt;"",B22&lt;&gt;"",C22&lt;&gt;"",D22&lt;&gt;"",ISNUMBER(E22),ISNUMBER(F22),ISNUMBER(G22),K22&lt;&gt;"",H22="Sí",I22="Sí",J22="Sí"),MAX(0,(E22-F22)*G22/60),"")</x:f>
      </x:c>
    </x:row>
    <x:row r="23" ht="30" customHeight="1">
      <x:c r="A23" s="78"/>
      <x:c r="B23" s="78"/>
      <x:c r="C23" s="78"/>
      <x:c r="D23" s="78"/>
      <x:c r="E23" s="102"/>
      <x:c r="F23" s="102"/>
      <x:c r="G23" s="102"/>
      <x:c r="H23" s="78"/>
      <x:c r="I23" s="78"/>
      <x:c r="J23" s="78"/>
      <x:c r="K23" s="78"/>
      <x:c r="L23" s="103" t="str">
        <x:f>IF(AND(A23&lt;&gt;"",B23&lt;&gt;"",C23&lt;&gt;"",D23&lt;&gt;"",ISNUMBER(E23),ISNUMBER(F23),ISNUMBER(G23),K23&lt;&gt;"",H23="Sí",I23="Sí",J23="Sí"),MAX(0,(E23-F23)*G23/60),"")</x:f>
      </x:c>
    </x:row>
    <x:row r="24" ht="30" customHeight="1">
      <x:c r="A24" s="78"/>
      <x:c r="B24" s="78"/>
      <x:c r="C24" s="78"/>
      <x:c r="D24" s="78"/>
      <x:c r="E24" s="102"/>
      <x:c r="F24" s="102"/>
      <x:c r="G24" s="102"/>
      <x:c r="H24" s="78"/>
      <x:c r="I24" s="78"/>
      <x:c r="J24" s="78"/>
      <x:c r="K24" s="78"/>
      <x:c r="L24" s="103" t="str">
        <x:f>IF(AND(A24&lt;&gt;"",B24&lt;&gt;"",C24&lt;&gt;"",D24&lt;&gt;"",ISNUMBER(E24),ISNUMBER(F24),ISNUMBER(G24),K24&lt;&gt;"",H24="Sí",I24="Sí",J24="Sí"),MAX(0,(E24-F24)*G24/60),"")</x:f>
      </x:c>
    </x:row>
    <x:row r="25" ht="30" customHeight="1">
      <x:c r="A25" s="78"/>
      <x:c r="B25" s="78"/>
      <x:c r="C25" s="78"/>
      <x:c r="D25" s="78"/>
      <x:c r="E25" s="102"/>
      <x:c r="F25" s="102"/>
      <x:c r="G25" s="102"/>
      <x:c r="H25" s="78"/>
      <x:c r="I25" s="78"/>
      <x:c r="J25" s="78"/>
      <x:c r="K25" s="78"/>
      <x:c r="L25" s="103" t="str">
        <x:f>IF(AND(A25&lt;&gt;"",B25&lt;&gt;"",C25&lt;&gt;"",D25&lt;&gt;"",ISNUMBER(E25),ISNUMBER(F25),ISNUMBER(G25),K25&lt;&gt;"",H25="Sí",I25="Sí",J25="Sí"),MAX(0,(E25-F25)*G25/60),"")</x:f>
      </x:c>
    </x:row>
    <x:row r="26" ht="30" customHeight="1">
      <x:c r="A26" s="78"/>
      <x:c r="B26" s="78"/>
      <x:c r="C26" s="78"/>
      <x:c r="D26" s="78"/>
      <x:c r="E26" s="102"/>
      <x:c r="F26" s="102"/>
      <x:c r="G26" s="102"/>
      <x:c r="H26" s="78"/>
      <x:c r="I26" s="78"/>
      <x:c r="J26" s="78"/>
      <x:c r="K26" s="78"/>
      <x:c r="L26" s="103" t="str">
        <x:f>IF(AND(A26&lt;&gt;"",B26&lt;&gt;"",C26&lt;&gt;"",D26&lt;&gt;"",ISNUMBER(E26),ISNUMBER(F26),ISNUMBER(G26),K26&lt;&gt;"",H26="Sí",I26="Sí",J26="Sí"),MAX(0,(E26-F26)*G26/60),"")</x:f>
      </x:c>
    </x:row>
    <x:row r="27" ht="30" customHeight="1">
      <x:c r="A27" s="78"/>
      <x:c r="B27" s="78"/>
      <x:c r="C27" s="78"/>
      <x:c r="D27" s="78"/>
      <x:c r="E27" s="102"/>
      <x:c r="F27" s="102"/>
      <x:c r="G27" s="102"/>
      <x:c r="H27" s="78"/>
      <x:c r="I27" s="78"/>
      <x:c r="J27" s="78"/>
      <x:c r="K27" s="78"/>
      <x:c r="L27" s="103" t="str">
        <x:f>IF(AND(A27&lt;&gt;"",B27&lt;&gt;"",C27&lt;&gt;"",D27&lt;&gt;"",ISNUMBER(E27),ISNUMBER(F27),ISNUMBER(G27),K27&lt;&gt;"",H27="Sí",I27="Sí",J27="Sí"),MAX(0,(E27-F27)*G27/60),"")</x:f>
      </x:c>
    </x:row>
    <x:row r="28" ht="30" customHeight="1">
      <x:c r="A28" s="78"/>
      <x:c r="B28" s="78"/>
      <x:c r="C28" s="78"/>
      <x:c r="D28" s="78"/>
      <x:c r="E28" s="102"/>
      <x:c r="F28" s="102"/>
      <x:c r="G28" s="102"/>
      <x:c r="H28" s="78"/>
      <x:c r="I28" s="78"/>
      <x:c r="J28" s="78"/>
      <x:c r="K28" s="78"/>
      <x:c r="L28" s="103" t="str">
        <x:f>IF(AND(A28&lt;&gt;"",B28&lt;&gt;"",C28&lt;&gt;"",D28&lt;&gt;"",ISNUMBER(E28),ISNUMBER(F28),ISNUMBER(G28),K28&lt;&gt;"",H28="Sí",I28="Sí",J28="Sí"),MAX(0,(E28-F28)*G28/60),"")</x:f>
      </x:c>
    </x:row>
    <x:row r="29" ht="30" customHeight="1">
      <x:c r="A29" s="78"/>
      <x:c r="B29" s="78"/>
      <x:c r="C29" s="78"/>
      <x:c r="D29" s="78"/>
      <x:c r="E29" s="102"/>
      <x:c r="F29" s="102"/>
      <x:c r="G29" s="102"/>
      <x:c r="H29" s="78"/>
      <x:c r="I29" s="78"/>
      <x:c r="J29" s="78"/>
      <x:c r="K29" s="78"/>
      <x:c r="L29" s="103" t="str">
        <x:f>IF(AND(A29&lt;&gt;"",B29&lt;&gt;"",C29&lt;&gt;"",D29&lt;&gt;"",ISNUMBER(E29),ISNUMBER(F29),ISNUMBER(G29),K29&lt;&gt;"",H29="Sí",I29="Sí",J29="Sí"),MAX(0,(E29-F29)*G29/60),"")</x:f>
      </x:c>
    </x:row>
    <x:row r="30" ht="30" customHeight="1">
      <x:c r="A30" s="78"/>
      <x:c r="B30" s="78"/>
      <x:c r="C30" s="78"/>
      <x:c r="D30" s="78"/>
      <x:c r="E30" s="102"/>
      <x:c r="F30" s="102"/>
      <x:c r="G30" s="102"/>
      <x:c r="H30" s="78"/>
      <x:c r="I30" s="78"/>
      <x:c r="J30" s="78"/>
      <x:c r="K30" s="78"/>
      <x:c r="L30" s="103" t="str">
        <x:f>IF(AND(A30&lt;&gt;"",B30&lt;&gt;"",C30&lt;&gt;"",D30&lt;&gt;"",ISNUMBER(E30),ISNUMBER(F30),ISNUMBER(G30),K30&lt;&gt;"",H30="Sí",I30="Sí",J30="Sí"),MAX(0,(E30-F30)*G30/60),"")</x:f>
      </x:c>
    </x:row>
    <x:row r="31" ht="30" customHeight="1">
      <x:c r="A31" s="78"/>
      <x:c r="B31" s="78"/>
      <x:c r="C31" s="78"/>
      <x:c r="D31" s="78"/>
      <x:c r="E31" s="102"/>
      <x:c r="F31" s="102"/>
      <x:c r="G31" s="102"/>
      <x:c r="H31" s="78"/>
      <x:c r="I31" s="78"/>
      <x:c r="J31" s="78"/>
      <x:c r="K31" s="78"/>
      <x:c r="L31" s="103" t="str">
        <x:f>IF(AND(A31&lt;&gt;"",B31&lt;&gt;"",C31&lt;&gt;"",D31&lt;&gt;"",ISNUMBER(E31),ISNUMBER(F31),ISNUMBER(G31),K31&lt;&gt;"",H31="Sí",I31="Sí",J31="Sí"),MAX(0,(E31-F31)*G31/60),"")</x:f>
      </x:c>
    </x:row>
    <x:row r="32" ht="30" customHeight="1">
      <x:c r="A32" s="78"/>
      <x:c r="B32" s="78"/>
      <x:c r="C32" s="78"/>
      <x:c r="D32" s="78"/>
      <x:c r="E32" s="102"/>
      <x:c r="F32" s="102"/>
      <x:c r="G32" s="102"/>
      <x:c r="H32" s="78"/>
      <x:c r="I32" s="78"/>
      <x:c r="J32" s="78"/>
      <x:c r="K32" s="78"/>
      <x:c r="L32" s="103" t="str">
        <x:f>IF(AND(A32&lt;&gt;"",B32&lt;&gt;"",C32&lt;&gt;"",D32&lt;&gt;"",ISNUMBER(E32),ISNUMBER(F32),ISNUMBER(G32),K32&lt;&gt;"",H32="Sí",I32="Sí",J32="Sí"),MAX(0,(E32-F32)*G32/60),"")</x:f>
      </x:c>
    </x:row>
    <x:row r="33" ht="30" customHeight="1">
      <x:c r="A33" s="78"/>
      <x:c r="B33" s="78"/>
      <x:c r="C33" s="78"/>
      <x:c r="D33" s="78"/>
      <x:c r="E33" s="102"/>
      <x:c r="F33" s="102"/>
      <x:c r="G33" s="102"/>
      <x:c r="H33" s="78"/>
      <x:c r="I33" s="78"/>
      <x:c r="J33" s="78"/>
      <x:c r="K33" s="78"/>
      <x:c r="L33" s="103" t="str">
        <x:f>IF(AND(A33&lt;&gt;"",B33&lt;&gt;"",C33&lt;&gt;"",D33&lt;&gt;"",ISNUMBER(E33),ISNUMBER(F33),ISNUMBER(G33),K33&lt;&gt;"",H33="Sí",I33="Sí",J33="Sí"),MAX(0,(E33-F33)*G33/60),"")</x:f>
      </x:c>
    </x:row>
    <x:row r="34" ht="30" customHeight="1">
      <x:c r="A34" s="78"/>
      <x:c r="B34" s="78"/>
      <x:c r="C34" s="78"/>
      <x:c r="D34" s="78"/>
      <x:c r="E34" s="102"/>
      <x:c r="F34" s="102"/>
      <x:c r="G34" s="102"/>
      <x:c r="H34" s="78"/>
      <x:c r="I34" s="78"/>
      <x:c r="J34" s="78"/>
      <x:c r="K34" s="78"/>
      <x:c r="L34" s="103" t="str">
        <x:f>IF(AND(A34&lt;&gt;"",B34&lt;&gt;"",C34&lt;&gt;"",D34&lt;&gt;"",ISNUMBER(E34),ISNUMBER(F34),ISNUMBER(G34),K34&lt;&gt;"",H34="Sí",I34="Sí",J34="Sí"),MAX(0,(E34-F34)*G34/60),"")</x:f>
      </x:c>
    </x:row>
    <x:row r="35" ht="30" customHeight="1">
      <x:c r="A35" s="78"/>
      <x:c r="B35" s="78"/>
      <x:c r="C35" s="78"/>
      <x:c r="D35" s="78"/>
      <x:c r="E35" s="102"/>
      <x:c r="F35" s="102"/>
      <x:c r="G35" s="102"/>
      <x:c r="H35" s="78"/>
      <x:c r="I35" s="78"/>
      <x:c r="J35" s="78"/>
      <x:c r="K35" s="78"/>
      <x:c r="L35" s="103" t="str">
        <x:f>IF(AND(A35&lt;&gt;"",B35&lt;&gt;"",C35&lt;&gt;"",D35&lt;&gt;"",ISNUMBER(E35),ISNUMBER(F35),ISNUMBER(G35),K35&lt;&gt;"",H35="Sí",I35="Sí",J35="Sí"),MAX(0,(E35-F35)*G35/60),"")</x:f>
      </x:c>
    </x:row>
    <x:row r="36" ht="30" customHeight="1">
      <x:c r="A36" s="78"/>
      <x:c r="B36" s="78"/>
      <x:c r="C36" s="78"/>
      <x:c r="D36" s="78"/>
      <x:c r="E36" s="102"/>
      <x:c r="F36" s="102"/>
      <x:c r="G36" s="102"/>
      <x:c r="H36" s="78"/>
      <x:c r="I36" s="78"/>
      <x:c r="J36" s="78"/>
      <x:c r="K36" s="78"/>
      <x:c r="L36" s="103" t="str">
        <x:f>IF(AND(A36&lt;&gt;"",B36&lt;&gt;"",C36&lt;&gt;"",D36&lt;&gt;"",ISNUMBER(E36),ISNUMBER(F36),ISNUMBER(G36),K36&lt;&gt;"",H36="Sí",I36="Sí",J36="Sí"),MAX(0,(E36-F36)*G36/60),"")</x:f>
      </x:c>
    </x:row>
    <x:row r="37" ht="30" customHeight="1">
      <x:c r="A37" s="78"/>
      <x:c r="B37" s="78"/>
      <x:c r="C37" s="78"/>
      <x:c r="D37" s="78"/>
      <x:c r="E37" s="102"/>
      <x:c r="F37" s="102"/>
      <x:c r="G37" s="102"/>
      <x:c r="H37" s="78"/>
      <x:c r="I37" s="78"/>
      <x:c r="J37" s="78"/>
      <x:c r="K37" s="78"/>
      <x:c r="L37" s="103" t="str">
        <x:f>IF(AND(A37&lt;&gt;"",B37&lt;&gt;"",C37&lt;&gt;"",D37&lt;&gt;"",ISNUMBER(E37),ISNUMBER(F37),ISNUMBER(G37),K37&lt;&gt;"",H37="Sí",I37="Sí",J37="Sí"),MAX(0,(E37-F37)*G37/60),"")</x:f>
      </x:c>
    </x:row>
    <x:row r="38" ht="30" customHeight="1">
      <x:c r="A38" s="78"/>
      <x:c r="B38" s="78"/>
      <x:c r="C38" s="78"/>
      <x:c r="D38" s="78"/>
      <x:c r="E38" s="102"/>
      <x:c r="F38" s="102"/>
      <x:c r="G38" s="102"/>
      <x:c r="H38" s="78"/>
      <x:c r="I38" s="78"/>
      <x:c r="J38" s="78"/>
      <x:c r="K38" s="78"/>
      <x:c r="L38" s="103" t="str">
        <x:f>IF(AND(A38&lt;&gt;"",B38&lt;&gt;"",C38&lt;&gt;"",D38&lt;&gt;"",ISNUMBER(E38),ISNUMBER(F38),ISNUMBER(G38),K38&lt;&gt;"",H38="Sí",I38="Sí",J38="Sí"),MAX(0,(E38-F38)*G38/60),"")</x:f>
      </x:c>
    </x:row>
    <x:row r="39" ht="30" customHeight="1">
      <x:c r="A39" s="78"/>
      <x:c r="B39" s="78"/>
      <x:c r="C39" s="78"/>
      <x:c r="D39" s="78"/>
      <x:c r="E39" s="102"/>
      <x:c r="F39" s="102"/>
      <x:c r="G39" s="102"/>
      <x:c r="H39" s="78"/>
      <x:c r="I39" s="78"/>
      <x:c r="J39" s="78"/>
      <x:c r="K39" s="78"/>
      <x:c r="L39" s="103" t="str">
        <x:f>IF(AND(A39&lt;&gt;"",B39&lt;&gt;"",C39&lt;&gt;"",D39&lt;&gt;"",ISNUMBER(E39),ISNUMBER(F39),ISNUMBER(G39),K39&lt;&gt;"",H39="Sí",I39="Sí",J39="Sí"),MAX(0,(E39-F39)*G39/60),"")</x:f>
      </x:c>
    </x:row>
    <x:row r="40" ht="30" customHeight="1">
      <x:c r="A40" s="78"/>
      <x:c r="B40" s="78"/>
      <x:c r="C40" s="78"/>
      <x:c r="D40" s="78"/>
      <x:c r="E40" s="102"/>
      <x:c r="F40" s="102"/>
      <x:c r="G40" s="102"/>
      <x:c r="H40" s="78"/>
      <x:c r="I40" s="78"/>
      <x:c r="J40" s="78"/>
      <x:c r="K40" s="78"/>
      <x:c r="L40" s="103" t="str">
        <x:f>IF(AND(A40&lt;&gt;"",B40&lt;&gt;"",C40&lt;&gt;"",D40&lt;&gt;"",ISNUMBER(E40),ISNUMBER(F40),ISNUMBER(G40),K40&lt;&gt;"",H40="Sí",I40="Sí",J40="Sí"),MAX(0,(E40-F40)*G40/60),"")</x:f>
      </x:c>
    </x:row>
    <x:row r="41" ht="30" customHeight="1">
      <x:c r="A41" s="78"/>
      <x:c r="B41" s="78"/>
      <x:c r="C41" s="78"/>
      <x:c r="D41" s="78"/>
      <x:c r="E41" s="102"/>
      <x:c r="F41" s="102"/>
      <x:c r="G41" s="102"/>
      <x:c r="H41" s="78"/>
      <x:c r="I41" s="78"/>
      <x:c r="J41" s="78"/>
      <x:c r="K41" s="78"/>
      <x:c r="L41" s="103" t="str">
        <x:f>IF(AND(A41&lt;&gt;"",B41&lt;&gt;"",C41&lt;&gt;"",D41&lt;&gt;"",ISNUMBER(E41),ISNUMBER(F41),ISNUMBER(G41),K41&lt;&gt;"",H41="Sí",I41="Sí",J41="Sí"),MAX(0,(E41-F41)*G41/60),"")</x:f>
      </x:c>
    </x:row>
    <x:row r="42" ht="30" customHeight="1">
      <x:c r="A42" s="78"/>
      <x:c r="B42" s="78"/>
      <x:c r="C42" s="78"/>
      <x:c r="D42" s="78"/>
      <x:c r="E42" s="102"/>
      <x:c r="F42" s="102"/>
      <x:c r="G42" s="102"/>
      <x:c r="H42" s="78"/>
      <x:c r="I42" s="78"/>
      <x:c r="J42" s="78"/>
      <x:c r="K42" s="78"/>
      <x:c r="L42" s="103" t="str">
        <x:f>IF(AND(A42&lt;&gt;"",B42&lt;&gt;"",C42&lt;&gt;"",D42&lt;&gt;"",ISNUMBER(E42),ISNUMBER(F42),ISNUMBER(G42),K42&lt;&gt;"",H42="Sí",I42="Sí",J42="Sí"),MAX(0,(E42-F42)*G42/60),"")</x:f>
      </x:c>
    </x:row>
    <x:row r="43" ht="30" customHeight="1">
      <x:c r="A43" s="78"/>
      <x:c r="B43" s="78"/>
      <x:c r="C43" s="78"/>
      <x:c r="D43" s="78"/>
      <x:c r="E43" s="102"/>
      <x:c r="F43" s="102"/>
      <x:c r="G43" s="102"/>
      <x:c r="H43" s="78"/>
      <x:c r="I43" s="78"/>
      <x:c r="J43" s="78"/>
      <x:c r="K43" s="78"/>
      <x:c r="L43" s="103" t="str">
        <x:f>IF(AND(A43&lt;&gt;"",B43&lt;&gt;"",C43&lt;&gt;"",D43&lt;&gt;"",ISNUMBER(E43),ISNUMBER(F43),ISNUMBER(G43),K43&lt;&gt;"",H43="Sí",I43="Sí",J43="Sí"),MAX(0,(E43-F43)*G43/60),"")</x:f>
      </x:c>
    </x:row>
    <x:row r="44" ht="30" customHeight="1">
      <x:c r="A44" s="78"/>
      <x:c r="B44" s="78"/>
      <x:c r="C44" s="78"/>
      <x:c r="D44" s="78"/>
      <x:c r="E44" s="102"/>
      <x:c r="F44" s="102"/>
      <x:c r="G44" s="102"/>
      <x:c r="H44" s="78"/>
      <x:c r="I44" s="78"/>
      <x:c r="J44" s="78"/>
      <x:c r="K44" s="78"/>
      <x:c r="L44" s="103" t="str">
        <x:f>IF(AND(A44&lt;&gt;"",B44&lt;&gt;"",C44&lt;&gt;"",D44&lt;&gt;"",ISNUMBER(E44),ISNUMBER(F44),ISNUMBER(G44),K44&lt;&gt;"",H44="Sí",I44="Sí",J44="Sí"),MAX(0,(E44-F44)*G44/60),"")</x:f>
      </x:c>
    </x:row>
    <x:row r="45" ht="30" customHeight="1">
      <x:c r="A45" s="78"/>
      <x:c r="B45" s="78"/>
      <x:c r="C45" s="78"/>
      <x:c r="D45" s="78"/>
      <x:c r="E45" s="102"/>
      <x:c r="F45" s="102"/>
      <x:c r="G45" s="102"/>
      <x:c r="H45" s="78"/>
      <x:c r="I45" s="78"/>
      <x:c r="J45" s="78"/>
      <x:c r="K45" s="78"/>
      <x:c r="L45" s="103" t="str">
        <x:f>IF(AND(A45&lt;&gt;"",B45&lt;&gt;"",C45&lt;&gt;"",D45&lt;&gt;"",ISNUMBER(E45),ISNUMBER(F45),ISNUMBER(G45),K45&lt;&gt;"",H45="Sí",I45="Sí",J45="Sí"),MAX(0,(E45-F45)*G45/60),"")</x:f>
      </x:c>
    </x:row>
    <x:row r="46" ht="30" customHeight="1">
      <x:c r="A46" s="78"/>
      <x:c r="B46" s="78"/>
      <x:c r="C46" s="78"/>
      <x:c r="D46" s="78"/>
      <x:c r="E46" s="102"/>
      <x:c r="F46" s="102"/>
      <x:c r="G46" s="102"/>
      <x:c r="H46" s="78"/>
      <x:c r="I46" s="78"/>
      <x:c r="J46" s="78"/>
      <x:c r="K46" s="78"/>
      <x:c r="L46" s="103" t="str">
        <x:f>IF(AND(A46&lt;&gt;"",B46&lt;&gt;"",C46&lt;&gt;"",D46&lt;&gt;"",ISNUMBER(E46),ISNUMBER(F46),ISNUMBER(G46),K46&lt;&gt;"",H46="Sí",I46="Sí",J46="Sí"),MAX(0,(E46-F46)*G46/60),"")</x:f>
      </x:c>
    </x:row>
    <x:row r="47" ht="30" customHeight="1">
      <x:c r="A47" s="78"/>
      <x:c r="B47" s="78"/>
      <x:c r="C47" s="78"/>
      <x:c r="D47" s="78"/>
      <x:c r="E47" s="102"/>
      <x:c r="F47" s="102"/>
      <x:c r="G47" s="102"/>
      <x:c r="H47" s="78"/>
      <x:c r="I47" s="78"/>
      <x:c r="J47" s="78"/>
      <x:c r="K47" s="78"/>
      <x:c r="L47" s="103" t="str">
        <x:f>IF(AND(A47&lt;&gt;"",B47&lt;&gt;"",C47&lt;&gt;"",D47&lt;&gt;"",ISNUMBER(E47),ISNUMBER(F47),ISNUMBER(G47),K47&lt;&gt;"",H47="Sí",I47="Sí",J47="Sí"),MAX(0,(E47-F47)*G47/60),"")</x:f>
      </x:c>
    </x:row>
    <x:row r="48" ht="30" customHeight="1">
      <x:c r="A48" s="78"/>
      <x:c r="B48" s="78"/>
      <x:c r="C48" s="78"/>
      <x:c r="D48" s="78"/>
      <x:c r="E48" s="102"/>
      <x:c r="F48" s="102"/>
      <x:c r="G48" s="102"/>
      <x:c r="H48" s="78"/>
      <x:c r="I48" s="78"/>
      <x:c r="J48" s="78"/>
      <x:c r="K48" s="78"/>
      <x:c r="L48" s="103" t="str">
        <x:f>IF(AND(A48&lt;&gt;"",B48&lt;&gt;"",C48&lt;&gt;"",D48&lt;&gt;"",ISNUMBER(E48),ISNUMBER(F48),ISNUMBER(G48),K48&lt;&gt;"",H48="Sí",I48="Sí",J48="Sí"),MAX(0,(E48-F48)*G48/60),"")</x:f>
      </x:c>
    </x:row>
    <x:row r="49" ht="30" customHeight="1">
      <x:c r="A49" s="78"/>
      <x:c r="B49" s="78"/>
      <x:c r="C49" s="78"/>
      <x:c r="D49" s="78"/>
      <x:c r="E49" s="102"/>
      <x:c r="F49" s="102"/>
      <x:c r="G49" s="102"/>
      <x:c r="H49" s="78"/>
      <x:c r="I49" s="78"/>
      <x:c r="J49" s="78"/>
      <x:c r="K49" s="78"/>
      <x:c r="L49" s="103" t="str">
        <x:f>IF(AND(A49&lt;&gt;"",B49&lt;&gt;"",C49&lt;&gt;"",D49&lt;&gt;"",ISNUMBER(E49),ISNUMBER(F49),ISNUMBER(G49),K49&lt;&gt;"",H49="Sí",I49="Sí",J49="Sí"),MAX(0,(E49-F49)*G49/60),"")</x:f>
      </x:c>
    </x:row>
    <x:row r="50" ht="30" customHeight="1">
      <x:c r="A50" s="78"/>
      <x:c r="B50" s="78"/>
      <x:c r="C50" s="78"/>
      <x:c r="D50" s="78"/>
      <x:c r="E50" s="102"/>
      <x:c r="F50" s="102"/>
      <x:c r="G50" s="102"/>
      <x:c r="H50" s="78"/>
      <x:c r="I50" s="78"/>
      <x:c r="J50" s="78"/>
      <x:c r="K50" s="78"/>
      <x:c r="L50" s="103" t="str">
        <x:f>IF(AND(A50&lt;&gt;"",B50&lt;&gt;"",C50&lt;&gt;"",D50&lt;&gt;"",ISNUMBER(E50),ISNUMBER(F50),ISNUMBER(G50),K50&lt;&gt;"",H50="Sí",I50="Sí",J50="Sí"),MAX(0,(E50-F50)*G50/60),"")</x:f>
      </x:c>
    </x:row>
    <x:row r="51" ht="30" customHeight="1">
      <x:c r="A51" s="78"/>
      <x:c r="B51" s="78"/>
      <x:c r="C51" s="78"/>
      <x:c r="D51" s="78"/>
      <x:c r="E51" s="102"/>
      <x:c r="F51" s="102"/>
      <x:c r="G51" s="102"/>
      <x:c r="H51" s="78"/>
      <x:c r="I51" s="78"/>
      <x:c r="J51" s="78"/>
      <x:c r="K51" s="78"/>
      <x:c r="L51" s="103" t="str">
        <x:f>IF(AND(A51&lt;&gt;"",B51&lt;&gt;"",C51&lt;&gt;"",D51&lt;&gt;"",ISNUMBER(E51),ISNUMBER(F51),ISNUMBER(G51),K51&lt;&gt;"",H51="Sí",I51="Sí",J51="Sí"),MAX(0,(E51-F51)*G51/60),"")</x:f>
      </x:c>
    </x:row>
    <x:row r="52" ht="30" customHeight="1">
      <x:c r="A52" s="78"/>
      <x:c r="B52" s="78"/>
      <x:c r="C52" s="78"/>
      <x:c r="D52" s="78"/>
      <x:c r="E52" s="102"/>
      <x:c r="F52" s="102"/>
      <x:c r="G52" s="102"/>
      <x:c r="H52" s="78"/>
      <x:c r="I52" s="78"/>
      <x:c r="J52" s="78"/>
      <x:c r="K52" s="78"/>
      <x:c r="L52" s="103" t="str">
        <x:f>IF(AND(A52&lt;&gt;"",B52&lt;&gt;"",C52&lt;&gt;"",D52&lt;&gt;"",ISNUMBER(E52),ISNUMBER(F52),ISNUMBER(G52),K52&lt;&gt;"",H52="Sí",I52="Sí",J52="Sí"),MAX(0,(E52-F52)*G52/60),"")</x:f>
      </x:c>
    </x:row>
    <x:row r="53" ht="30" customHeight="1">
      <x:c r="A53" s="78"/>
      <x:c r="B53" s="78"/>
      <x:c r="C53" s="78"/>
      <x:c r="D53" s="78"/>
      <x:c r="E53" s="102"/>
      <x:c r="F53" s="102"/>
      <x:c r="G53" s="102"/>
      <x:c r="H53" s="78"/>
      <x:c r="I53" s="78"/>
      <x:c r="J53" s="78"/>
      <x:c r="K53" s="78"/>
      <x:c r="L53" s="103" t="str">
        <x:f>IF(AND(A53&lt;&gt;"",B53&lt;&gt;"",C53&lt;&gt;"",D53&lt;&gt;"",ISNUMBER(E53),ISNUMBER(F53),ISNUMBER(G53),K53&lt;&gt;"",H53="Sí",I53="Sí",J53="Sí"),MAX(0,(E53-F53)*G53/60),"")</x:f>
      </x:c>
    </x:row>
    <x:row r="54" ht="30" customHeight="1">
      <x:c r="A54" s="78"/>
      <x:c r="B54" s="78"/>
      <x:c r="C54" s="78"/>
      <x:c r="D54" s="78"/>
      <x:c r="E54" s="102"/>
      <x:c r="F54" s="102"/>
      <x:c r="G54" s="102"/>
      <x:c r="H54" s="78"/>
      <x:c r="I54" s="78"/>
      <x:c r="J54" s="78"/>
      <x:c r="K54" s="78"/>
      <x:c r="L54" s="103" t="str">
        <x:f>IF(AND(A54&lt;&gt;"",B54&lt;&gt;"",C54&lt;&gt;"",D54&lt;&gt;"",ISNUMBER(E54),ISNUMBER(F54),ISNUMBER(G54),K54&lt;&gt;"",H54="Sí",I54="Sí",J54="Sí"),MAX(0,(E54-F54)*G54/60),"")</x:f>
      </x:c>
    </x:row>
    <x:row r="55" ht="30" customHeight="1">
      <x:c r="A55" s="78"/>
      <x:c r="B55" s="78"/>
      <x:c r="C55" s="78"/>
      <x:c r="D55" s="78"/>
      <x:c r="E55" s="102"/>
      <x:c r="F55" s="102"/>
      <x:c r="G55" s="102"/>
      <x:c r="H55" s="78"/>
      <x:c r="I55" s="78"/>
      <x:c r="J55" s="78"/>
      <x:c r="K55" s="78"/>
      <x:c r="L55" s="103" t="str">
        <x:f>IF(AND(A55&lt;&gt;"",B55&lt;&gt;"",C55&lt;&gt;"",D55&lt;&gt;"",ISNUMBER(E55),ISNUMBER(F55),ISNUMBER(G55),K55&lt;&gt;"",H55="Sí",I55="Sí",J55="Sí"),MAX(0,(E55-F55)*G55/60),"")</x:f>
      </x:c>
    </x:row>
    <x:row r="56" ht="30" customHeight="1">
      <x:c r="A56" s="78"/>
      <x:c r="B56" s="78"/>
      <x:c r="C56" s="78"/>
      <x:c r="D56" s="78"/>
      <x:c r="E56" s="102"/>
      <x:c r="F56" s="102"/>
      <x:c r="G56" s="102"/>
      <x:c r="H56" s="78"/>
      <x:c r="I56" s="78"/>
      <x:c r="J56" s="78"/>
      <x:c r="K56" s="78"/>
      <x:c r="L56" s="103" t="str">
        <x:f>IF(AND(A56&lt;&gt;"",B56&lt;&gt;"",C56&lt;&gt;"",D56&lt;&gt;"",ISNUMBER(E56),ISNUMBER(F56),ISNUMBER(G56),K56&lt;&gt;"",H56="Sí",I56="Sí",J56="Sí"),MAX(0,(E56-F56)*G56/60),"")</x:f>
      </x:c>
    </x:row>
    <x:row r="57" ht="30" customHeight="1">
      <x:c r="A57" s="78"/>
      <x:c r="B57" s="78"/>
      <x:c r="C57" s="78"/>
      <x:c r="D57" s="78"/>
      <x:c r="E57" s="102"/>
      <x:c r="F57" s="102"/>
      <x:c r="G57" s="102"/>
      <x:c r="H57" s="78"/>
      <x:c r="I57" s="78"/>
      <x:c r="J57" s="78"/>
      <x:c r="K57" s="78"/>
      <x:c r="L57" s="103" t="str">
        <x:f>IF(AND(A57&lt;&gt;"",B57&lt;&gt;"",C57&lt;&gt;"",D57&lt;&gt;"",ISNUMBER(E57),ISNUMBER(F57),ISNUMBER(G57),K57&lt;&gt;"",H57="Sí",I57="Sí",J57="Sí"),MAX(0,(E57-F57)*G57/60),"")</x:f>
      </x:c>
    </x:row>
    <x:row r="58" ht="30" customHeight="1">
      <x:c r="A58" s="78"/>
      <x:c r="B58" s="78"/>
      <x:c r="C58" s="78"/>
      <x:c r="D58" s="78"/>
      <x:c r="E58" s="102"/>
      <x:c r="F58" s="102"/>
      <x:c r="G58" s="102"/>
      <x:c r="H58" s="78"/>
      <x:c r="I58" s="78"/>
      <x:c r="J58" s="78"/>
      <x:c r="K58" s="78"/>
      <x:c r="L58" s="103" t="str">
        <x:f>IF(AND(A58&lt;&gt;"",B58&lt;&gt;"",C58&lt;&gt;"",D58&lt;&gt;"",ISNUMBER(E58),ISNUMBER(F58),ISNUMBER(G58),K58&lt;&gt;"",H58="Sí",I58="Sí",J58="Sí"),MAX(0,(E58-F58)*G58/60),"")</x:f>
      </x:c>
    </x:row>
    <x:row r="59" ht="30" customHeight="1">
      <x:c r="A59" s="78"/>
      <x:c r="B59" s="78"/>
      <x:c r="C59" s="78"/>
      <x:c r="D59" s="78"/>
      <x:c r="E59" s="102"/>
      <x:c r="F59" s="102"/>
      <x:c r="G59" s="102"/>
      <x:c r="H59" s="78"/>
      <x:c r="I59" s="78"/>
      <x:c r="J59" s="78"/>
      <x:c r="K59" s="78"/>
      <x:c r="L59" s="103" t="str">
        <x:f>IF(AND(A59&lt;&gt;"",B59&lt;&gt;"",C59&lt;&gt;"",D59&lt;&gt;"",ISNUMBER(E59),ISNUMBER(F59),ISNUMBER(G59),K59&lt;&gt;"",H59="Sí",I59="Sí",J59="Sí"),MAX(0,(E59-F59)*G59/60),"")</x:f>
      </x:c>
    </x:row>
    <x:row r="60" ht="30" customHeight="1">
      <x:c r="A60" s="78"/>
      <x:c r="B60" s="78"/>
      <x:c r="C60" s="78"/>
      <x:c r="D60" s="78"/>
      <x:c r="E60" s="102"/>
      <x:c r="F60" s="102"/>
      <x:c r="G60" s="102"/>
      <x:c r="H60" s="78"/>
      <x:c r="I60" s="78"/>
      <x:c r="J60" s="78"/>
      <x:c r="K60" s="78"/>
      <x:c r="L60" s="103" t="str">
        <x:f>IF(AND(A60&lt;&gt;"",B60&lt;&gt;"",C60&lt;&gt;"",D60&lt;&gt;"",ISNUMBER(E60),ISNUMBER(F60),ISNUMBER(G60),K60&lt;&gt;"",H60="Sí",I60="Sí",J60="Sí"),MAX(0,(E60-F60)*G60/60),"")</x:f>
      </x:c>
    </x:row>
    <x:row r="61" ht="30" customHeight="1">
      <x:c r="A61" s="78"/>
      <x:c r="B61" s="78"/>
      <x:c r="C61" s="78"/>
      <x:c r="D61" s="78"/>
      <x:c r="E61" s="102"/>
      <x:c r="F61" s="102"/>
      <x:c r="G61" s="102"/>
      <x:c r="H61" s="78"/>
      <x:c r="I61" s="78"/>
      <x:c r="J61" s="78"/>
      <x:c r="K61" s="78"/>
      <x:c r="L61" s="103" t="str">
        <x:f>IF(AND(A61&lt;&gt;"",B61&lt;&gt;"",C61&lt;&gt;"",D61&lt;&gt;"",ISNUMBER(E61),ISNUMBER(F61),ISNUMBER(G61),K61&lt;&gt;"",H61="Sí",I61="Sí",J61="Sí"),MAX(0,(E61-F61)*G61/60),"")</x:f>
      </x:c>
    </x:row>
    <x:row r="62" ht="30" customHeight="1">
      <x:c r="A62" s="78"/>
      <x:c r="B62" s="78"/>
      <x:c r="C62" s="78"/>
      <x:c r="D62" s="78"/>
      <x:c r="E62" s="102"/>
      <x:c r="F62" s="102"/>
      <x:c r="G62" s="102"/>
      <x:c r="H62" s="78"/>
      <x:c r="I62" s="78"/>
      <x:c r="J62" s="78"/>
      <x:c r="K62" s="78"/>
      <x:c r="L62" s="103" t="str">
        <x:f>IF(AND(A62&lt;&gt;"",B62&lt;&gt;"",C62&lt;&gt;"",D62&lt;&gt;"",ISNUMBER(E62),ISNUMBER(F62),ISNUMBER(G62),K62&lt;&gt;"",H62="Sí",I62="Sí",J62="Sí"),MAX(0,(E62-F62)*G62/60),"")</x:f>
      </x:c>
    </x:row>
    <x:row r="63" ht="30" customHeight="1">
      <x:c r="A63" s="78"/>
      <x:c r="B63" s="78"/>
      <x:c r="C63" s="78"/>
      <x:c r="D63" s="78"/>
      <x:c r="E63" s="102"/>
      <x:c r="F63" s="102"/>
      <x:c r="G63" s="102"/>
      <x:c r="H63" s="78"/>
      <x:c r="I63" s="78"/>
      <x:c r="J63" s="78"/>
      <x:c r="K63" s="78"/>
      <x:c r="L63" s="103" t="str">
        <x:f>IF(AND(A63&lt;&gt;"",B63&lt;&gt;"",C63&lt;&gt;"",D63&lt;&gt;"",ISNUMBER(E63),ISNUMBER(F63),ISNUMBER(G63),K63&lt;&gt;"",H63="Sí",I63="Sí",J63="Sí"),MAX(0,(E63-F63)*G63/60),"")</x:f>
      </x:c>
    </x:row>
    <x:row r="64" ht="30" customHeight="1">
      <x:c r="A64" s="78"/>
      <x:c r="B64" s="78"/>
      <x:c r="C64" s="78"/>
      <x:c r="D64" s="78"/>
      <x:c r="E64" s="102"/>
      <x:c r="F64" s="102"/>
      <x:c r="G64" s="102"/>
      <x:c r="H64" s="78"/>
      <x:c r="I64" s="78"/>
      <x:c r="J64" s="78"/>
      <x:c r="K64" s="78"/>
      <x:c r="L64" s="103" t="str">
        <x:f>IF(AND(A64&lt;&gt;"",B64&lt;&gt;"",C64&lt;&gt;"",D64&lt;&gt;"",ISNUMBER(E64),ISNUMBER(F64),ISNUMBER(G64),K64&lt;&gt;"",H64="Sí",I64="Sí",J64="Sí"),MAX(0,(E64-F64)*G64/60),"")</x:f>
      </x:c>
    </x:row>
    <x:row r="65" ht="30" customHeight="1">
      <x:c r="A65" s="78"/>
      <x:c r="B65" s="78"/>
      <x:c r="C65" s="78"/>
      <x:c r="D65" s="78"/>
      <x:c r="E65" s="102"/>
      <x:c r="F65" s="102"/>
      <x:c r="G65" s="102"/>
      <x:c r="H65" s="78"/>
      <x:c r="I65" s="78"/>
      <x:c r="J65" s="78"/>
      <x:c r="K65" s="78"/>
      <x:c r="L65" s="103" t="str">
        <x:f>IF(AND(A65&lt;&gt;"",B65&lt;&gt;"",C65&lt;&gt;"",D65&lt;&gt;"",ISNUMBER(E65),ISNUMBER(F65),ISNUMBER(G65),K65&lt;&gt;"",H65="Sí",I65="Sí",J65="Sí"),MAX(0,(E65-F65)*G65/60),"")</x:f>
      </x:c>
    </x:row>
    <x:row r="66" ht="30" customHeight="1">
      <x:c r="A66" s="78"/>
      <x:c r="B66" s="78"/>
      <x:c r="C66" s="78"/>
      <x:c r="D66" s="78"/>
      <x:c r="E66" s="102"/>
      <x:c r="F66" s="102"/>
      <x:c r="G66" s="102"/>
      <x:c r="H66" s="78"/>
      <x:c r="I66" s="78"/>
      <x:c r="J66" s="78"/>
      <x:c r="K66" s="78"/>
      <x:c r="L66" s="103" t="str">
        <x:f>IF(AND(A66&lt;&gt;"",B66&lt;&gt;"",C66&lt;&gt;"",D66&lt;&gt;"",ISNUMBER(E66),ISNUMBER(F66),ISNUMBER(G66),K66&lt;&gt;"",H66="Sí",I66="Sí",J66="Sí"),MAX(0,(E66-F66)*G66/60),"")</x:f>
      </x:c>
    </x:row>
    <x:row r="67" ht="30" customHeight="1">
      <x:c r="A67" s="78"/>
      <x:c r="B67" s="78"/>
      <x:c r="C67" s="78"/>
      <x:c r="D67" s="78"/>
      <x:c r="E67" s="102"/>
      <x:c r="F67" s="102"/>
      <x:c r="G67" s="102"/>
      <x:c r="H67" s="78"/>
      <x:c r="I67" s="78"/>
      <x:c r="J67" s="78"/>
      <x:c r="K67" s="78"/>
      <x:c r="L67" s="103" t="str">
        <x:f>IF(AND(A67&lt;&gt;"",B67&lt;&gt;"",C67&lt;&gt;"",D67&lt;&gt;"",ISNUMBER(E67),ISNUMBER(F67),ISNUMBER(G67),K67&lt;&gt;"",H67="Sí",I67="Sí",J67="Sí"),MAX(0,(E67-F67)*G67/60),"")</x:f>
      </x:c>
    </x:row>
    <x:row r="68" ht="30" customHeight="1">
      <x:c r="A68" s="78"/>
      <x:c r="B68" s="78"/>
      <x:c r="C68" s="78"/>
      <x:c r="D68" s="78"/>
      <x:c r="E68" s="102"/>
      <x:c r="F68" s="102"/>
      <x:c r="G68" s="102"/>
      <x:c r="H68" s="78"/>
      <x:c r="I68" s="78"/>
      <x:c r="J68" s="78"/>
      <x:c r="K68" s="78"/>
      <x:c r="L68" s="103" t="str">
        <x:f>IF(AND(A68&lt;&gt;"",B68&lt;&gt;"",C68&lt;&gt;"",D68&lt;&gt;"",ISNUMBER(E68),ISNUMBER(F68),ISNUMBER(G68),K68&lt;&gt;"",H68="Sí",I68="Sí",J68="Sí"),MAX(0,(E68-F68)*G68/60),"")</x:f>
      </x:c>
    </x:row>
    <x:row r="69" ht="30" customHeight="1">
      <x:c r="A69" s="78"/>
      <x:c r="B69" s="78"/>
      <x:c r="C69" s="78"/>
      <x:c r="D69" s="78"/>
      <x:c r="E69" s="102"/>
      <x:c r="F69" s="102"/>
      <x:c r="G69" s="102"/>
      <x:c r="H69" s="78"/>
      <x:c r="I69" s="78"/>
      <x:c r="J69" s="78"/>
      <x:c r="K69" s="78"/>
      <x:c r="L69" s="103" t="str">
        <x:f>IF(AND(A69&lt;&gt;"",B69&lt;&gt;"",C69&lt;&gt;"",D69&lt;&gt;"",ISNUMBER(E69),ISNUMBER(F69),ISNUMBER(G69),K69&lt;&gt;"",H69="Sí",I69="Sí",J69="Sí"),MAX(0,(E69-F69)*G69/60),"")</x:f>
      </x:c>
    </x:row>
    <x:row r="70" ht="30" customHeight="1">
      <x:c r="A70" s="78"/>
      <x:c r="B70" s="78"/>
      <x:c r="C70" s="78"/>
      <x:c r="D70" s="78"/>
      <x:c r="E70" s="102"/>
      <x:c r="F70" s="102"/>
      <x:c r="G70" s="102"/>
      <x:c r="H70" s="78"/>
      <x:c r="I70" s="78"/>
      <x:c r="J70" s="78"/>
      <x:c r="K70" s="78"/>
      <x:c r="L70" s="103" t="str">
        <x:f>IF(AND(A70&lt;&gt;"",B70&lt;&gt;"",C70&lt;&gt;"",D70&lt;&gt;"",ISNUMBER(E70),ISNUMBER(F70),ISNUMBER(G70),K70&lt;&gt;"",H70="Sí",I70="Sí",J70="Sí"),MAX(0,(E70-F70)*G70/60),"")</x:f>
      </x:c>
    </x:row>
    <x:row r="71" ht="30" customHeight="1">
      <x:c r="A71" s="78"/>
      <x:c r="B71" s="78"/>
      <x:c r="C71" s="78"/>
      <x:c r="D71" s="78"/>
      <x:c r="E71" s="102"/>
      <x:c r="F71" s="102"/>
      <x:c r="G71" s="102"/>
      <x:c r="H71" s="78"/>
      <x:c r="I71" s="78"/>
      <x:c r="J71" s="78"/>
      <x:c r="K71" s="78"/>
      <x:c r="L71" s="103" t="str">
        <x:f>IF(AND(A71&lt;&gt;"",B71&lt;&gt;"",C71&lt;&gt;"",D71&lt;&gt;"",ISNUMBER(E71),ISNUMBER(F71),ISNUMBER(G71),K71&lt;&gt;"",H71="Sí",I71="Sí",J71="Sí"),MAX(0,(E71-F71)*G71/60),"")</x:f>
      </x:c>
    </x:row>
    <x:row r="72" ht="30" customHeight="1">
      <x:c r="A72" s="78"/>
      <x:c r="B72" s="78"/>
      <x:c r="C72" s="78"/>
      <x:c r="D72" s="78"/>
      <x:c r="E72" s="102"/>
      <x:c r="F72" s="102"/>
      <x:c r="G72" s="102"/>
      <x:c r="H72" s="78"/>
      <x:c r="I72" s="78"/>
      <x:c r="J72" s="78"/>
      <x:c r="K72" s="78"/>
      <x:c r="L72" s="103" t="str">
        <x:f>IF(AND(A72&lt;&gt;"",B72&lt;&gt;"",C72&lt;&gt;"",D72&lt;&gt;"",ISNUMBER(E72),ISNUMBER(F72),ISNUMBER(G72),K72&lt;&gt;"",H72="Sí",I72="Sí",J72="Sí"),MAX(0,(E72-F72)*G72/60),"")</x:f>
      </x:c>
    </x:row>
    <x:row r="73" ht="30" customHeight="1">
      <x:c r="A73" s="78"/>
      <x:c r="B73" s="78"/>
      <x:c r="C73" s="78"/>
      <x:c r="D73" s="78"/>
      <x:c r="E73" s="102"/>
      <x:c r="F73" s="102"/>
      <x:c r="G73" s="102"/>
      <x:c r="H73" s="78"/>
      <x:c r="I73" s="78"/>
      <x:c r="J73" s="78"/>
      <x:c r="K73" s="78"/>
      <x:c r="L73" s="103" t="str">
        <x:f>IF(AND(A73&lt;&gt;"",B73&lt;&gt;"",C73&lt;&gt;"",D73&lt;&gt;"",ISNUMBER(E73),ISNUMBER(F73),ISNUMBER(G73),K73&lt;&gt;"",H73="Sí",I73="Sí",J73="Sí"),MAX(0,(E73-F73)*G73/60),"")</x:f>
      </x:c>
    </x:row>
    <x:row r="74" ht="30" customHeight="1">
      <x:c r="A74" s="78"/>
      <x:c r="B74" s="78"/>
      <x:c r="C74" s="78"/>
      <x:c r="D74" s="78"/>
      <x:c r="E74" s="102"/>
      <x:c r="F74" s="102"/>
      <x:c r="G74" s="102"/>
      <x:c r="H74" s="78"/>
      <x:c r="I74" s="78"/>
      <x:c r="J74" s="78"/>
      <x:c r="K74" s="78"/>
      <x:c r="L74" s="103" t="str">
        <x:f>IF(AND(A74&lt;&gt;"",B74&lt;&gt;"",C74&lt;&gt;"",D74&lt;&gt;"",ISNUMBER(E74),ISNUMBER(F74),ISNUMBER(G74),K74&lt;&gt;"",H74="Sí",I74="Sí",J74="Sí"),MAX(0,(E74-F74)*G74/60),"")</x:f>
      </x:c>
    </x:row>
    <x:row r="75" ht="30" customHeight="1">
      <x:c r="A75" s="78"/>
      <x:c r="B75" s="78"/>
      <x:c r="C75" s="78"/>
      <x:c r="D75" s="78"/>
      <x:c r="E75" s="102"/>
      <x:c r="F75" s="102"/>
      <x:c r="G75" s="102"/>
      <x:c r="H75" s="78"/>
      <x:c r="I75" s="78"/>
      <x:c r="J75" s="78"/>
      <x:c r="K75" s="78"/>
      <x:c r="L75" s="103" t="str">
        <x:f>IF(AND(A75&lt;&gt;"",B75&lt;&gt;"",C75&lt;&gt;"",D75&lt;&gt;"",ISNUMBER(E75),ISNUMBER(F75),ISNUMBER(G75),K75&lt;&gt;"",H75="Sí",I75="Sí",J75="Sí"),MAX(0,(E75-F75)*G75/60),"")</x:f>
      </x:c>
    </x:row>
    <x:row r="76" ht="30" customHeight="1">
      <x:c r="A76" s="78"/>
      <x:c r="B76" s="78"/>
      <x:c r="C76" s="78"/>
      <x:c r="D76" s="78"/>
      <x:c r="E76" s="102"/>
      <x:c r="F76" s="102"/>
      <x:c r="G76" s="102"/>
      <x:c r="H76" s="78"/>
      <x:c r="I76" s="78"/>
      <x:c r="J76" s="78"/>
      <x:c r="K76" s="78"/>
      <x:c r="L76" s="103" t="str">
        <x:f>IF(AND(A76&lt;&gt;"",B76&lt;&gt;"",C76&lt;&gt;"",D76&lt;&gt;"",ISNUMBER(E76),ISNUMBER(F76),ISNUMBER(G76),K76&lt;&gt;"",H76="Sí",I76="Sí",J76="Sí"),MAX(0,(E76-F76)*G76/60),"")</x:f>
      </x:c>
    </x:row>
    <x:row r="77" ht="30" customHeight="1">
      <x:c r="A77" s="78"/>
      <x:c r="B77" s="78"/>
      <x:c r="C77" s="78"/>
      <x:c r="D77" s="78"/>
      <x:c r="E77" s="102"/>
      <x:c r="F77" s="102"/>
      <x:c r="G77" s="102"/>
      <x:c r="H77" s="78"/>
      <x:c r="I77" s="78"/>
      <x:c r="J77" s="78"/>
      <x:c r="K77" s="78"/>
      <x:c r="L77" s="103" t="str">
        <x:f>IF(AND(A77&lt;&gt;"",B77&lt;&gt;"",C77&lt;&gt;"",D77&lt;&gt;"",ISNUMBER(E77),ISNUMBER(F77),ISNUMBER(G77),K77&lt;&gt;"",H77="Sí",I77="Sí",J77="Sí"),MAX(0,(E77-F77)*G77/60),"")</x:f>
      </x:c>
    </x:row>
    <x:row r="78" ht="30" customHeight="1">
      <x:c r="A78" s="78"/>
      <x:c r="B78" s="78"/>
      <x:c r="C78" s="78"/>
      <x:c r="D78" s="78"/>
      <x:c r="E78" s="102"/>
      <x:c r="F78" s="102"/>
      <x:c r="G78" s="102"/>
      <x:c r="H78" s="78"/>
      <x:c r="I78" s="78"/>
      <x:c r="J78" s="78"/>
      <x:c r="K78" s="78"/>
      <x:c r="L78" s="103" t="str">
        <x:f>IF(AND(A78&lt;&gt;"",B78&lt;&gt;"",C78&lt;&gt;"",D78&lt;&gt;"",ISNUMBER(E78),ISNUMBER(F78),ISNUMBER(G78),K78&lt;&gt;"",H78="Sí",I78="Sí",J78="Sí"),MAX(0,(E78-F78)*G78/60),"")</x:f>
      </x:c>
    </x:row>
    <x:row r="79" ht="30" customHeight="1">
      <x:c r="A79" s="78"/>
      <x:c r="B79" s="78"/>
      <x:c r="C79" s="78"/>
      <x:c r="D79" s="78"/>
      <x:c r="E79" s="102"/>
      <x:c r="F79" s="102"/>
      <x:c r="G79" s="102"/>
      <x:c r="H79" s="78"/>
      <x:c r="I79" s="78"/>
      <x:c r="J79" s="78"/>
      <x:c r="K79" s="78"/>
      <x:c r="L79" s="103" t="str">
        <x:f>IF(AND(A79&lt;&gt;"",B79&lt;&gt;"",C79&lt;&gt;"",D79&lt;&gt;"",ISNUMBER(E79),ISNUMBER(F79),ISNUMBER(G79),K79&lt;&gt;"",H79="Sí",I79="Sí",J79="Sí"),MAX(0,(E79-F79)*G79/60),"")</x:f>
      </x:c>
    </x:row>
    <x:row r="80" ht="30" customHeight="1">
      <x:c r="A80" s="78"/>
      <x:c r="B80" s="78"/>
      <x:c r="C80" s="78"/>
      <x:c r="D80" s="78"/>
      <x:c r="E80" s="102"/>
      <x:c r="F80" s="102"/>
      <x:c r="G80" s="102"/>
      <x:c r="H80" s="78"/>
      <x:c r="I80" s="78"/>
      <x:c r="J80" s="78"/>
      <x:c r="K80" s="78"/>
      <x:c r="L80" s="103" t="str">
        <x:f>IF(AND(A80&lt;&gt;"",B80&lt;&gt;"",C80&lt;&gt;"",D80&lt;&gt;"",ISNUMBER(E80),ISNUMBER(F80),ISNUMBER(G80),K80&lt;&gt;"",H80="Sí",I80="Sí",J80="Sí"),MAX(0,(E80-F80)*G80/60),"")</x:f>
      </x:c>
    </x:row>
    <x:row r="81" ht="30" customHeight="1">
      <x:c r="A81" s="78"/>
      <x:c r="B81" s="78"/>
      <x:c r="C81" s="78"/>
      <x:c r="D81" s="78"/>
      <x:c r="E81" s="102"/>
      <x:c r="F81" s="102"/>
      <x:c r="G81" s="102"/>
      <x:c r="H81" s="78"/>
      <x:c r="I81" s="78"/>
      <x:c r="J81" s="78"/>
      <x:c r="K81" s="78"/>
      <x:c r="L81" s="103" t="str">
        <x:f>IF(AND(A81&lt;&gt;"",B81&lt;&gt;"",C81&lt;&gt;"",D81&lt;&gt;"",ISNUMBER(E81),ISNUMBER(F81),ISNUMBER(G81),K81&lt;&gt;"",H81="Sí",I81="Sí",J81="Sí"),MAX(0,(E81-F81)*G81/60),"")</x:f>
      </x:c>
    </x:row>
    <x:row r="82" ht="30" customHeight="1">
      <x:c r="A82" s="78"/>
      <x:c r="B82" s="78"/>
      <x:c r="C82" s="78"/>
      <x:c r="D82" s="78"/>
      <x:c r="E82" s="102"/>
      <x:c r="F82" s="102"/>
      <x:c r="G82" s="102"/>
      <x:c r="H82" s="78"/>
      <x:c r="I82" s="78"/>
      <x:c r="J82" s="78"/>
      <x:c r="K82" s="78"/>
      <x:c r="L82" s="103" t="str">
        <x:f>IF(AND(A82&lt;&gt;"",B82&lt;&gt;"",C82&lt;&gt;"",D82&lt;&gt;"",ISNUMBER(E82),ISNUMBER(F82),ISNUMBER(G82),K82&lt;&gt;"",H82="Sí",I82="Sí",J82="Sí"),MAX(0,(E82-F82)*G82/60),"")</x:f>
      </x:c>
    </x:row>
    <x:row r="83" ht="30" customHeight="1">
      <x:c r="A83" s="78"/>
      <x:c r="B83" s="78"/>
      <x:c r="C83" s="78"/>
      <x:c r="D83" s="78"/>
      <x:c r="E83" s="102"/>
      <x:c r="F83" s="102"/>
      <x:c r="G83" s="102"/>
      <x:c r="H83" s="78"/>
      <x:c r="I83" s="78"/>
      <x:c r="J83" s="78"/>
      <x:c r="K83" s="78"/>
      <x:c r="L83" s="103" t="str">
        <x:f>IF(AND(A83&lt;&gt;"",B83&lt;&gt;"",C83&lt;&gt;"",D83&lt;&gt;"",ISNUMBER(E83),ISNUMBER(F83),ISNUMBER(G83),K83&lt;&gt;"",H83="Sí",I83="Sí",J83="Sí"),MAX(0,(E83-F83)*G83/60),"")</x:f>
      </x:c>
    </x:row>
    <x:row r="84" ht="30" customHeight="1">
      <x:c r="A84" s="78"/>
      <x:c r="B84" s="78"/>
      <x:c r="C84" s="78"/>
      <x:c r="D84" s="78"/>
      <x:c r="E84" s="102"/>
      <x:c r="F84" s="102"/>
      <x:c r="G84" s="102"/>
      <x:c r="H84" s="78"/>
      <x:c r="I84" s="78"/>
      <x:c r="J84" s="78"/>
      <x:c r="K84" s="78"/>
      <x:c r="L84" s="103" t="str">
        <x:f>IF(AND(A84&lt;&gt;"",B84&lt;&gt;"",C84&lt;&gt;"",D84&lt;&gt;"",ISNUMBER(E84),ISNUMBER(F84),ISNUMBER(G84),K84&lt;&gt;"",H84="Sí",I84="Sí",J84="Sí"),MAX(0,(E84-F84)*G84/60),"")</x:f>
      </x:c>
    </x:row>
    <x:row r="85" ht="30" customHeight="1">
      <x:c r="A85" s="78"/>
      <x:c r="B85" s="78"/>
      <x:c r="C85" s="78"/>
      <x:c r="D85" s="78"/>
      <x:c r="E85" s="102"/>
      <x:c r="F85" s="102"/>
      <x:c r="G85" s="102"/>
      <x:c r="H85" s="78"/>
      <x:c r="I85" s="78"/>
      <x:c r="J85" s="78"/>
      <x:c r="K85" s="78"/>
      <x:c r="L85" s="103" t="str">
        <x:f>IF(AND(A85&lt;&gt;"",B85&lt;&gt;"",C85&lt;&gt;"",D85&lt;&gt;"",ISNUMBER(E85),ISNUMBER(F85),ISNUMBER(G85),K85&lt;&gt;"",H85="Sí",I85="Sí",J85="Sí"),MAX(0,(E85-F85)*G85/60),"")</x:f>
      </x:c>
    </x:row>
    <x:row r="86" ht="30" customHeight="1">
      <x:c r="A86" s="78"/>
      <x:c r="B86" s="78"/>
      <x:c r="C86" s="78"/>
      <x:c r="D86" s="78"/>
      <x:c r="E86" s="102"/>
      <x:c r="F86" s="102"/>
      <x:c r="G86" s="102"/>
      <x:c r="H86" s="78"/>
      <x:c r="I86" s="78"/>
      <x:c r="J86" s="78"/>
      <x:c r="K86" s="78"/>
      <x:c r="L86" s="103" t="str">
        <x:f>IF(AND(A86&lt;&gt;"",B86&lt;&gt;"",C86&lt;&gt;"",D86&lt;&gt;"",ISNUMBER(E86),ISNUMBER(F86),ISNUMBER(G86),K86&lt;&gt;"",H86="Sí",I86="Sí",J86="Sí"),MAX(0,(E86-F86)*G86/60),"")</x:f>
      </x:c>
    </x:row>
    <x:row r="87" ht="30" customHeight="1">
      <x:c r="A87" s="78"/>
      <x:c r="B87" s="78"/>
      <x:c r="C87" s="78"/>
      <x:c r="D87" s="78"/>
      <x:c r="E87" s="102"/>
      <x:c r="F87" s="102"/>
      <x:c r="G87" s="102"/>
      <x:c r="H87" s="78"/>
      <x:c r="I87" s="78"/>
      <x:c r="J87" s="78"/>
      <x:c r="K87" s="78"/>
      <x:c r="L87" s="103" t="str">
        <x:f>IF(AND(A87&lt;&gt;"",B87&lt;&gt;"",C87&lt;&gt;"",D87&lt;&gt;"",ISNUMBER(E87),ISNUMBER(F87),ISNUMBER(G87),K87&lt;&gt;"",H87="Sí",I87="Sí",J87="Sí"),MAX(0,(E87-F87)*G87/60),"")</x:f>
      </x:c>
    </x:row>
    <x:row r="88" ht="30" customHeight="1">
      <x:c r="A88" s="78"/>
      <x:c r="B88" s="78"/>
      <x:c r="C88" s="78"/>
      <x:c r="D88" s="78"/>
      <x:c r="E88" s="102"/>
      <x:c r="F88" s="102"/>
      <x:c r="G88" s="102"/>
      <x:c r="H88" s="78"/>
      <x:c r="I88" s="78"/>
      <x:c r="J88" s="78"/>
      <x:c r="K88" s="78"/>
      <x:c r="L88" s="103" t="str">
        <x:f>IF(AND(A88&lt;&gt;"",B88&lt;&gt;"",C88&lt;&gt;"",D88&lt;&gt;"",ISNUMBER(E88),ISNUMBER(F88),ISNUMBER(G88),K88&lt;&gt;"",H88="Sí",I88="Sí",J88="Sí"),MAX(0,(E88-F88)*G88/60),"")</x:f>
      </x:c>
    </x:row>
    <x:row r="89" ht="30" customHeight="1">
      <x:c r="A89" s="78"/>
      <x:c r="B89" s="78"/>
      <x:c r="C89" s="78"/>
      <x:c r="D89" s="78"/>
      <x:c r="E89" s="102"/>
      <x:c r="F89" s="102"/>
      <x:c r="G89" s="102"/>
      <x:c r="H89" s="78"/>
      <x:c r="I89" s="78"/>
      <x:c r="J89" s="78"/>
      <x:c r="K89" s="78"/>
      <x:c r="L89" s="103" t="str">
        <x:f>IF(AND(A89&lt;&gt;"",B89&lt;&gt;"",C89&lt;&gt;"",D89&lt;&gt;"",ISNUMBER(E89),ISNUMBER(F89),ISNUMBER(G89),K89&lt;&gt;"",H89="Sí",I89="Sí",J89="Sí"),MAX(0,(E89-F89)*G89/60),"")</x:f>
      </x:c>
    </x:row>
    <x:row r="90" ht="30" customHeight="1">
      <x:c r="A90" s="78"/>
      <x:c r="B90" s="78"/>
      <x:c r="C90" s="78"/>
      <x:c r="D90" s="78"/>
      <x:c r="E90" s="102"/>
      <x:c r="F90" s="102"/>
      <x:c r="G90" s="102"/>
      <x:c r="H90" s="78"/>
      <x:c r="I90" s="78"/>
      <x:c r="J90" s="78"/>
      <x:c r="K90" s="78"/>
      <x:c r="L90" s="103" t="str">
        <x:f>IF(AND(A90&lt;&gt;"",B90&lt;&gt;"",C90&lt;&gt;"",D90&lt;&gt;"",ISNUMBER(E90),ISNUMBER(F90),ISNUMBER(G90),K90&lt;&gt;"",H90="Sí",I90="Sí",J90="Sí"),MAX(0,(E90-F90)*G90/60),"")</x:f>
      </x:c>
    </x:row>
    <x:row r="91" ht="30" customHeight="1">
      <x:c r="A91" s="78"/>
      <x:c r="B91" s="78"/>
      <x:c r="C91" s="78"/>
      <x:c r="D91" s="78"/>
      <x:c r="E91" s="102"/>
      <x:c r="F91" s="102"/>
      <x:c r="G91" s="102"/>
      <x:c r="H91" s="78"/>
      <x:c r="I91" s="78"/>
      <x:c r="J91" s="78"/>
      <x:c r="K91" s="78"/>
      <x:c r="L91" s="103" t="str">
        <x:f>IF(AND(A91&lt;&gt;"",B91&lt;&gt;"",C91&lt;&gt;"",D91&lt;&gt;"",ISNUMBER(E91),ISNUMBER(F91),ISNUMBER(G91),K91&lt;&gt;"",H91="Sí",I91="Sí",J91="Sí"),MAX(0,(E91-F91)*G91/60),"")</x:f>
      </x:c>
    </x:row>
    <x:row r="92" ht="30" customHeight="1">
      <x:c r="A92" s="78"/>
      <x:c r="B92" s="78"/>
      <x:c r="C92" s="78"/>
      <x:c r="D92" s="78"/>
      <x:c r="E92" s="102"/>
      <x:c r="F92" s="102"/>
      <x:c r="G92" s="102"/>
      <x:c r="H92" s="78"/>
      <x:c r="I92" s="78"/>
      <x:c r="J92" s="78"/>
      <x:c r="K92" s="78"/>
      <x:c r="L92" s="103" t="str">
        <x:f>IF(AND(A92&lt;&gt;"",B92&lt;&gt;"",C92&lt;&gt;"",D92&lt;&gt;"",ISNUMBER(E92),ISNUMBER(F92),ISNUMBER(G92),K92&lt;&gt;"",H92="Sí",I92="Sí",J92="Sí"),MAX(0,(E92-F92)*G92/60),"")</x:f>
      </x:c>
    </x:row>
    <x:row r="93" ht="30" customHeight="1">
      <x:c r="A93" s="78"/>
      <x:c r="B93" s="78"/>
      <x:c r="C93" s="78"/>
      <x:c r="D93" s="78"/>
      <x:c r="E93" s="102"/>
      <x:c r="F93" s="102"/>
      <x:c r="G93" s="102"/>
      <x:c r="H93" s="78"/>
      <x:c r="I93" s="78"/>
      <x:c r="J93" s="78"/>
      <x:c r="K93" s="78"/>
      <x:c r="L93" s="103" t="str">
        <x:f>IF(AND(A93&lt;&gt;"",B93&lt;&gt;"",C93&lt;&gt;"",D93&lt;&gt;"",ISNUMBER(E93),ISNUMBER(F93),ISNUMBER(G93),K93&lt;&gt;"",H93="Sí",I93="Sí",J93="Sí"),MAX(0,(E93-F93)*G93/60),"")</x:f>
      </x:c>
    </x:row>
    <x:row r="94" ht="30" customHeight="1">
      <x:c r="A94" s="78"/>
      <x:c r="B94" s="78"/>
      <x:c r="C94" s="78"/>
      <x:c r="D94" s="78"/>
      <x:c r="E94" s="102"/>
      <x:c r="F94" s="102"/>
      <x:c r="G94" s="102"/>
      <x:c r="H94" s="78"/>
      <x:c r="I94" s="78"/>
      <x:c r="J94" s="78"/>
      <x:c r="K94" s="78"/>
      <x:c r="L94" s="103" t="str">
        <x:f>IF(AND(A94&lt;&gt;"",B94&lt;&gt;"",C94&lt;&gt;"",D94&lt;&gt;"",ISNUMBER(E94),ISNUMBER(F94),ISNUMBER(G94),K94&lt;&gt;"",H94="Sí",I94="Sí",J94="Sí"),MAX(0,(E94-F94)*G94/60),"")</x:f>
      </x:c>
    </x:row>
    <x:row r="95" ht="30" customHeight="1">
      <x:c r="A95" s="78"/>
      <x:c r="B95" s="78"/>
      <x:c r="C95" s="78"/>
      <x:c r="D95" s="78"/>
      <x:c r="E95" s="102"/>
      <x:c r="F95" s="102"/>
      <x:c r="G95" s="102"/>
      <x:c r="H95" s="78"/>
      <x:c r="I95" s="78"/>
      <x:c r="J95" s="78"/>
      <x:c r="K95" s="78"/>
      <x:c r="L95" s="103" t="str">
        <x:f>IF(AND(A95&lt;&gt;"",B95&lt;&gt;"",C95&lt;&gt;"",D95&lt;&gt;"",ISNUMBER(E95),ISNUMBER(F95),ISNUMBER(G95),K95&lt;&gt;"",H95="Sí",I95="Sí",J95="Sí"),MAX(0,(E95-F95)*G95/60),"")</x:f>
      </x:c>
    </x:row>
    <x:row r="96" ht="30" customHeight="1">
      <x:c r="A96" s="82"/>
      <x:c r="B96" s="82"/>
      <x:c r="C96" s="82"/>
      <x:c r="D96" s="82"/>
      <x:c r="E96" s="104"/>
      <x:c r="F96" s="104"/>
      <x:c r="G96" s="104"/>
      <x:c r="H96" s="82"/>
      <x:c r="I96" s="82"/>
      <x:c r="J96" s="82"/>
      <x:c r="K96" s="82"/>
      <x:c r="L96" s="105" t="str">
        <x:f>IF(AND(A96&lt;&gt;"",B96&lt;&gt;"",C96&lt;&gt;"",D96&lt;&gt;"",ISNUMBER(E96),ISNUMBER(F96),ISNUMBER(G96),K96&lt;&gt;"",H96="Sí",I96="Sí",J96="Sí"),MAX(0,(E96-F96)*G96/60),"")</x:f>
      </x:c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</x:row>
  </x:sheetData>
  <x:mergeCells>
    <x:mergeCell ref="A15:L15"/>
  </x:mergeCells>
  <x:conditionalFormatting sqref="B5:B12">
    <x:cfRule type="dataBar" priority="1">
      <x:dataBar>
        <x:cfvo type="min"/>
        <x:cfvo type="max"/>
        <x:color rgb="FFD1AD62"/>
      </x:dataBar>
      <x:extLst>
        <x:ext xmlns:x14="http://schemas.microsoft.com/office/spreadsheetml/2009/9/main" uri="{B025F937-C7B1-47D3-B67F-A62EFF666E3E}">
          <x14:id>{87733134-8F32-A9B4-1F98-23BEA6FDB244}</x14:id>
        </x:ext>
      </x:extLst>
    </x:cfRule>
  </x:conditionalFormatting>
  <x:dataValidations count="4">
    <x:dataValidation type="list" sqref="A17:C96">
      <x:formula1>$A$5:$A$12</x:formula1>
    </x:dataValidation>
    <x:dataValidation type="list" sqref="B17:B96">
      <x:formula1>"Día 1,Día 2,Día 3,Día 4"</x:formula1>
    </x:dataValidation>
    <x:dataValidation type="list" sqref="C17:C96">
      <x:formula1>"Reto 1: Prompt Engineering,Reto 2: PQRS,Reto 3: Clonación de roles,Reto 4: Bandeja cero,Reto 5: Acta imposible,Reto 6: Informe sucio,Reto 7: Presupuesto oculto,Hackathon,Otro"</x:formula1>
    </x:dataValidation>
    <x:dataValidation type="list" sqref="H17:J96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9ec0c5e4134e8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7733134-8F32-A9B4-1F98-23BEA6FDB244}">
            <x14:dataBar gradient="0">
              <x14:cfvo type="min"/>
              <x14:cfvo type="max"/>
              <x14:fillColor rgb="FFD1AD62"/>
            </x14:dataBar>
          </x14:cfRule>
          <xm:sqref>B5:B12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Pr>
    <x:tabColor rgb="FFE8F1E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5" hidden="0" customWidth="1"/>
    <x:col min="4" max="4" width="2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8" hidden="0" customWidth="1"/>
    <x:col min="10" max="10" width="21" hidden="0" customWidth="1"/>
    <x:col min="11" max="11" width="35" hidden="0" customWidth="1"/>
  </x:cols>
  <x:sheetData>
    <x:row r="1" ht="27" customHeight="1">
      <x:c r="A1" s="9" t="str">
        <x:v>Participantes y asistencia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30" customHeight="1">
      <x:c r="A2" s="7" t="str">
        <x:v>Registra solo lo necesario para acompañar el aprendizaje. La autoevaluación digital orienta parejas de apoyo; no califica el desempeño laboral.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 ht="42" customHeight="1">
      <x:c r="A4" s="25" t="str">
        <x:v>Código</x:v>
      </x:c>
      <x:c r="B4" s="26" t="str">
        <x:v>Nombre (opcional)</x:v>
      </x:c>
      <x:c r="C4" s="26" t="str">
        <x:v>Área o dependencia</x:v>
      </x:c>
      <x:c r="D4" s="26" t="str">
        <x:v>Confianza digital (1–4)</x:v>
      </x:c>
      <x:c r="E4" s="26" t="str">
        <x:v>Asistencia Día 1</x:v>
      </x:c>
      <x:c r="F4" s="26" t="str">
        <x:v>Asistencia Día 2</x:v>
      </x:c>
      <x:c r="G4" s="26" t="str">
        <x:v>Asistencia Día 3</x:v>
      </x:c>
      <x:c r="H4" s="26" t="str">
        <x:v>Asistencia Día 4</x:v>
      </x:c>
      <x:c r="I4" s="26" t="str">
        <x:v>Proceso que desea mejorar</x:v>
      </x:c>
      <x:c r="J4" s="26" t="str">
        <x:v>Requiere acompañamiento</x:v>
      </x:c>
      <x:c r="K4" s="27" t="str">
        <x:v>Nota logística no sensible</x:v>
      </x:c>
    </x:row>
    <x:row r="5" ht="28" customHeight="1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</x:row>
    <x:row r="6" ht="28" customHeight="1">
      <x:c r="A6" s="78"/>
      <x:c r="B6" s="78"/>
      <x:c r="C6" s="78"/>
      <x:c r="D6" s="78"/>
      <x:c r="E6" s="78"/>
      <x:c r="F6" s="78"/>
      <x:c r="G6" s="78"/>
      <x:c r="H6" s="78"/>
      <x:c r="I6" s="78"/>
      <x:c r="J6" s="78"/>
      <x:c r="K6" s="78"/>
    </x:row>
    <x:row r="7" ht="28" customHeight="1">
      <x:c r="A7" s="78"/>
      <x:c r="B7" s="78"/>
      <x:c r="C7" s="78"/>
      <x:c r="D7" s="78"/>
      <x:c r="E7" s="78"/>
      <x:c r="F7" s="78"/>
      <x:c r="G7" s="78"/>
      <x:c r="H7" s="78"/>
      <x:c r="I7" s="78"/>
      <x:c r="J7" s="78"/>
      <x:c r="K7" s="78"/>
    </x:row>
    <x:row r="8" ht="28" customHeight="1">
      <x:c r="A8" s="78"/>
      <x:c r="B8" s="78"/>
      <x:c r="C8" s="78"/>
      <x:c r="D8" s="78"/>
      <x:c r="E8" s="78"/>
      <x:c r="F8" s="78"/>
      <x:c r="G8" s="78"/>
      <x:c r="H8" s="78"/>
      <x:c r="I8" s="78"/>
      <x:c r="J8" s="78"/>
      <x:c r="K8" s="78"/>
    </x:row>
    <x:row r="9" ht="28" customHeight="1">
      <x:c r="A9" s="78"/>
      <x:c r="B9" s="78"/>
      <x:c r="C9" s="78"/>
      <x:c r="D9" s="78"/>
      <x:c r="E9" s="78"/>
      <x:c r="F9" s="78"/>
      <x:c r="G9" s="78"/>
      <x:c r="H9" s="78"/>
      <x:c r="I9" s="78"/>
      <x:c r="J9" s="78"/>
      <x:c r="K9" s="78"/>
    </x:row>
    <x:row r="10" ht="28" customHeight="1">
      <x:c r="A10" s="78"/>
      <x:c r="B10" s="78"/>
      <x:c r="C10" s="78"/>
      <x:c r="D10" s="78"/>
      <x:c r="E10" s="78"/>
      <x:c r="F10" s="78"/>
      <x:c r="G10" s="78"/>
      <x:c r="H10" s="78"/>
      <x:c r="I10" s="78"/>
      <x:c r="J10" s="78"/>
      <x:c r="K10" s="78"/>
    </x:row>
    <x:row r="11" ht="28" customHeight="1">
      <x:c r="A11" s="78"/>
      <x:c r="B11" s="78"/>
      <x:c r="C11" s="78"/>
      <x:c r="D11" s="78"/>
      <x:c r="E11" s="78"/>
      <x:c r="F11" s="78"/>
      <x:c r="G11" s="78"/>
      <x:c r="H11" s="78"/>
      <x:c r="I11" s="78"/>
      <x:c r="J11" s="78"/>
      <x:c r="K11" s="78"/>
    </x:row>
    <x:row r="12" ht="28" customHeight="1">
      <x:c r="A12" s="78"/>
      <x:c r="B12" s="78"/>
      <x:c r="C12" s="78"/>
      <x:c r="D12" s="78"/>
      <x:c r="E12" s="78"/>
      <x:c r="F12" s="78"/>
      <x:c r="G12" s="78"/>
      <x:c r="H12" s="78"/>
      <x:c r="I12" s="78"/>
      <x:c r="J12" s="78"/>
      <x:c r="K12" s="78"/>
    </x:row>
    <x:row r="13" ht="28" customHeight="1">
      <x:c r="A13" s="78"/>
      <x:c r="B13" s="78"/>
      <x:c r="C13" s="78"/>
      <x:c r="D13" s="78"/>
      <x:c r="E13" s="78"/>
      <x:c r="F13" s="78"/>
      <x:c r="G13" s="78"/>
      <x:c r="H13" s="78"/>
      <x:c r="I13" s="78"/>
      <x:c r="J13" s="78"/>
      <x:c r="K13" s="78"/>
    </x:row>
    <x:row r="14" ht="28" customHeight="1">
      <x:c r="A14" s="78"/>
      <x:c r="B14" s="78"/>
      <x:c r="C14" s="78"/>
      <x:c r="D14" s="78"/>
      <x:c r="E14" s="78"/>
      <x:c r="F14" s="78"/>
      <x:c r="G14" s="78"/>
      <x:c r="H14" s="78"/>
      <x:c r="I14" s="78"/>
      <x:c r="J14" s="78"/>
      <x:c r="K14" s="78"/>
    </x:row>
    <x:row r="15" ht="28" customHeight="1">
      <x:c r="A15" s="78"/>
      <x:c r="B15" s="78"/>
      <x:c r="C15" s="78"/>
      <x:c r="D15" s="78"/>
      <x:c r="E15" s="78"/>
      <x:c r="F15" s="78"/>
      <x:c r="G15" s="78"/>
      <x:c r="H15" s="78"/>
      <x:c r="I15" s="78"/>
      <x:c r="J15" s="78"/>
      <x:c r="K15" s="78"/>
    </x:row>
    <x:row r="16" ht="28" customHeight="1">
      <x:c r="A16" s="78"/>
      <x:c r="B16" s="78"/>
      <x:c r="C16" s="78"/>
      <x:c r="D16" s="78"/>
      <x:c r="E16" s="78"/>
      <x:c r="F16" s="78"/>
      <x:c r="G16" s="78"/>
      <x:c r="H16" s="78"/>
      <x:c r="I16" s="78"/>
      <x:c r="J16" s="78"/>
      <x:c r="K16" s="78"/>
    </x:row>
    <x:row r="17" ht="28" customHeight="1">
      <x:c r="A17" s="78"/>
      <x:c r="B17" s="78"/>
      <x:c r="C17" s="78"/>
      <x:c r="D17" s="78"/>
      <x:c r="E17" s="78"/>
      <x:c r="F17" s="78"/>
      <x:c r="G17" s="78"/>
      <x:c r="H17" s="78"/>
      <x:c r="I17" s="78"/>
      <x:c r="J17" s="78"/>
      <x:c r="K17" s="78"/>
    </x:row>
    <x:row r="18" ht="28" customHeight="1">
      <x:c r="A18" s="78"/>
      <x:c r="B18" s="78"/>
      <x:c r="C18" s="78"/>
      <x:c r="D18" s="78"/>
      <x:c r="E18" s="78"/>
      <x:c r="F18" s="78"/>
      <x:c r="G18" s="78"/>
      <x:c r="H18" s="78"/>
      <x:c r="I18" s="78"/>
      <x:c r="J18" s="78"/>
      <x:c r="K18" s="78"/>
    </x:row>
    <x:row r="19" ht="28" customHeight="1">
      <x:c r="A19" s="78"/>
      <x:c r="B19" s="78"/>
      <x:c r="C19" s="78"/>
      <x:c r="D19" s="78"/>
      <x:c r="E19" s="78"/>
      <x:c r="F19" s="78"/>
      <x:c r="G19" s="78"/>
      <x:c r="H19" s="78"/>
      <x:c r="I19" s="78"/>
      <x:c r="J19" s="78"/>
      <x:c r="K19" s="78"/>
    </x:row>
    <x:row r="20" ht="28" customHeight="1">
      <x:c r="A20" s="78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</x:row>
    <x:row r="21" ht="28" customHeight="1">
      <x:c r="A21" s="78"/>
      <x:c r="B21" s="78"/>
      <x:c r="C21" s="78"/>
      <x:c r="D21" s="78"/>
      <x:c r="E21" s="78"/>
      <x:c r="F21" s="78"/>
      <x:c r="G21" s="78"/>
      <x:c r="H21" s="78"/>
      <x:c r="I21" s="78"/>
      <x:c r="J21" s="78"/>
      <x:c r="K21" s="78"/>
    </x:row>
    <x:row r="22" ht="28" customHeight="1">
      <x:c r="A22" s="78"/>
      <x:c r="B22" s="78"/>
      <x:c r="C22" s="78"/>
      <x:c r="D22" s="78"/>
      <x:c r="E22" s="78"/>
      <x:c r="F22" s="78"/>
      <x:c r="G22" s="78"/>
      <x:c r="H22" s="78"/>
      <x:c r="I22" s="78"/>
      <x:c r="J22" s="78"/>
      <x:c r="K22" s="78"/>
    </x:row>
    <x:row r="23" ht="28" customHeight="1">
      <x:c r="A23" s="78"/>
      <x:c r="B23" s="78"/>
      <x:c r="C23" s="78"/>
      <x:c r="D23" s="78"/>
      <x:c r="E23" s="78"/>
      <x:c r="F23" s="78"/>
      <x:c r="G23" s="78"/>
      <x:c r="H23" s="78"/>
      <x:c r="I23" s="78"/>
      <x:c r="J23" s="78"/>
      <x:c r="K23" s="78"/>
    </x:row>
    <x:row r="24" ht="28" customHeight="1">
      <x:c r="A24" s="78"/>
      <x:c r="B24" s="78"/>
      <x:c r="C24" s="78"/>
      <x:c r="D24" s="78"/>
      <x:c r="E24" s="78"/>
      <x:c r="F24" s="78"/>
      <x:c r="G24" s="78"/>
      <x:c r="H24" s="78"/>
      <x:c r="I24" s="78"/>
      <x:c r="J24" s="78"/>
      <x:c r="K24" s="78"/>
    </x:row>
    <x:row r="25" ht="28" customHeight="1">
      <x:c r="A25" s="78"/>
      <x:c r="B25" s="78"/>
      <x:c r="C25" s="78"/>
      <x:c r="D25" s="78"/>
      <x:c r="E25" s="78"/>
      <x:c r="F25" s="78"/>
      <x:c r="G25" s="78"/>
      <x:c r="H25" s="78"/>
      <x:c r="I25" s="78"/>
      <x:c r="J25" s="78"/>
      <x:c r="K25" s="78"/>
    </x:row>
    <x:row r="26" ht="28" customHeight="1">
      <x:c r="A26" s="78"/>
      <x:c r="B26" s="78"/>
      <x:c r="C26" s="78"/>
      <x:c r="D26" s="78"/>
      <x:c r="E26" s="78"/>
      <x:c r="F26" s="78"/>
      <x:c r="G26" s="78"/>
      <x:c r="H26" s="78"/>
      <x:c r="I26" s="78"/>
      <x:c r="J26" s="78"/>
      <x:c r="K26" s="78"/>
    </x:row>
    <x:row r="27" ht="28" customHeight="1">
      <x:c r="A27" s="78"/>
      <x:c r="B27" s="78"/>
      <x:c r="C27" s="78"/>
      <x:c r="D27" s="78"/>
      <x:c r="E27" s="78"/>
      <x:c r="F27" s="78"/>
      <x:c r="G27" s="78"/>
      <x:c r="H27" s="78"/>
      <x:c r="I27" s="78"/>
      <x:c r="J27" s="78"/>
      <x:c r="K27" s="78"/>
    </x:row>
    <x:row r="28" ht="28" customHeight="1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</x:row>
    <x:row r="29" ht="28" customHeight="1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</x:row>
    <x:row r="30" ht="28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78"/>
    </x:row>
    <x:row r="31" ht="28" customHeight="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/>
    </x:row>
    <x:row r="32" ht="28" customHeight="1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/>
    </x:row>
    <x:row r="33" ht="28" customHeight="1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/>
    </x:row>
    <x:row r="34" ht="28" customHeight="1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</x:row>
    <x:row r="35" ht="28" customHeight="1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</x:row>
    <x:row r="36" ht="28" customHeight="1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/>
    </x:row>
    <x:row r="37" ht="28" customHeight="1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/>
    </x:row>
    <x:row r="38" ht="28" customHeight="1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/>
    </x:row>
    <x:row r="39" ht="28" customHeight="1">
      <x:c r="A39" s="78"/>
      <x:c r="B39" s="78"/>
      <x:c r="C39" s="78"/>
      <x:c r="D39" s="78"/>
      <x:c r="E39" s="78"/>
      <x:c r="F39" s="78"/>
      <x:c r="G39" s="78"/>
      <x:c r="H39" s="78"/>
      <x:c r="I39" s="78"/>
      <x:c r="J39" s="78"/>
      <x:c r="K39" s="78"/>
    </x:row>
    <x:row r="40" ht="28" customHeight="1">
      <x:c r="A40" s="78"/>
      <x:c r="B40" s="78"/>
      <x:c r="C40" s="78"/>
      <x:c r="D40" s="78"/>
      <x:c r="E40" s="78"/>
      <x:c r="F40" s="78"/>
      <x:c r="G40" s="78"/>
      <x:c r="H40" s="78"/>
      <x:c r="I40" s="78"/>
      <x:c r="J40" s="78"/>
      <x:c r="K40" s="78"/>
    </x:row>
    <x:row r="41" ht="28" customHeight="1">
      <x:c r="A41" s="78"/>
      <x:c r="B41" s="78"/>
      <x:c r="C41" s="78"/>
      <x:c r="D41" s="78"/>
      <x:c r="E41" s="78"/>
      <x:c r="F41" s="78"/>
      <x:c r="G41" s="78"/>
      <x:c r="H41" s="78"/>
      <x:c r="I41" s="78"/>
      <x:c r="J41" s="78"/>
      <x:c r="K41" s="78"/>
    </x:row>
    <x:row r="42" ht="28" customHeight="1">
      <x:c r="A42" s="78"/>
      <x:c r="B42" s="78"/>
      <x:c r="C42" s="78"/>
      <x:c r="D42" s="78"/>
      <x:c r="E42" s="78"/>
      <x:c r="F42" s="78"/>
      <x:c r="G42" s="78"/>
      <x:c r="H42" s="78"/>
      <x:c r="I42" s="78"/>
      <x:c r="J42" s="78"/>
      <x:c r="K42" s="78"/>
    </x:row>
    <x:row r="43" ht="28" customHeight="1">
      <x:c r="A43" s="78"/>
      <x:c r="B43" s="78"/>
      <x:c r="C43" s="78"/>
      <x:c r="D43" s="78"/>
      <x:c r="E43" s="78"/>
      <x:c r="F43" s="78"/>
      <x:c r="G43" s="78"/>
      <x:c r="H43" s="78"/>
      <x:c r="I43" s="78"/>
      <x:c r="J43" s="78"/>
      <x:c r="K43" s="78"/>
    </x:row>
    <x:row r="44" ht="28" customHeight="1">
      <x:c r="A44" s="82"/>
      <x:c r="B44" s="82"/>
      <x:c r="C44" s="82"/>
      <x:c r="D44" s="82"/>
      <x:c r="E44" s="82"/>
      <x:c r="F44" s="82"/>
      <x:c r="G44" s="82"/>
      <x:c r="H44" s="82"/>
      <x:c r="I44" s="82"/>
      <x:c r="J44" s="82"/>
      <x:c r="K44" s="82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</x:row>
    <x:row r="46" ht="24" customHeight="1">
      <x:c r="A46" s="107" t="str">
        <x:v>Escala sugerida: 1 = necesito guía frecuente; 2 = resuelvo tareas básicas; 3 = trabajo con autonomía en tareas habituales; 4 = puedo acompañar a otra persona. Evita registrar números de identificación, datos sensibles o detalles de casos reales.</x:v>
      </x:c>
      <x:c r="B46" s="107"/>
      <x:c r="C46" s="107"/>
      <x:c r="D46" s="107"/>
      <x:c r="E46" s="107"/>
      <x:c r="F46" s="107"/>
      <x:c r="G46" s="107"/>
      <x:c r="H46" s="107"/>
      <x:c r="I46" s="107"/>
      <x:c r="J46" s="107"/>
      <x:c r="K46" s="107"/>
    </x:row>
    <x:row r="47" ht="24" customHeight="1">
      <x:c r="A47" s="107"/>
      <x:c r="B47" s="107"/>
      <x:c r="C47" s="107"/>
      <x:c r="D47" s="107"/>
      <x:c r="E47" s="107"/>
      <x:c r="F47" s="107"/>
      <x:c r="G47" s="107"/>
      <x:c r="H47" s="107"/>
      <x:c r="I47" s="107"/>
      <x:c r="J47" s="107"/>
      <x:c r="K47" s="107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</x:row>
  </x:sheetData>
  <x:mergeCells>
    <x:mergeCell ref="A46:K46"/>
    <x:mergeCell ref="A47:K47"/>
  </x:mergeCells>
  <x:dataValidations count="3">
    <x:dataValidation type="whole" operator="between" sqref="D5:D44">
      <x:formula1>1</x:formula1>
      <x:formula2>4</x:formula2>
    </x:dataValidation>
    <x:dataValidation type="list" sqref="E5:H44">
      <x:formula1>"Presente,Ausente,Excusa"</x:formula1>
    </x:dataValidation>
    <x:dataValidation type="list" sqref="J5:J44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ca17174f2b42d1"/>
  </x:tableParts>
</x:worksheet>
</file>

<file path=xl/worksheets/sheet5.xml><?xml version="1.0" encoding="utf-8"?>
<x:worksheet xmlns:x="http://schemas.openxmlformats.org/spreadsheetml/2006/main">
  <x:sheetPr>
    <x:tabColor rgb="FFD1AD6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5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7" customHeight="1">
      <x:c r="A1" s="9" t="str">
        <x:v>Rúbrica del hackathon administrativo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30" customHeight="1">
      <x:c r="A2" s="7" t="str">
        <x:v>Calificación por equipo. Puntúa evidencias de 1 a 4. El resultado ponderado se expresa sobre 100 puntos.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 ht="28" customHeight="1">
      <x:c r="A4" s="109" t="str">
        <x:v>Cada integrante del jurado califica la evidencia observada. Velocidad sin exactitud y revisión no constituye un resultado de calidad.</x:v>
      </x:c>
      <x:c r="B4" s="109"/>
      <x:c r="C4" s="109"/>
      <x:c r="D4" s="109"/>
      <x:c r="E4" s="109"/>
      <x:c r="F4" s="109"/>
      <x:c r="G4" s="109"/>
      <x:c r="H4" s="109"/>
      <x:c r="I4" s="109"/>
      <x:c r="J4" s="109"/>
      <x:c r="K4" s="109"/>
    </x:row>
    <x:row r="5" ht="38" customHeight="1">
      <x:c r="A5" s="25" t="str">
        <x:v>Criterio</x:v>
      </x:c>
      <x:c r="B5" s="26" t="str">
        <x:v>Peso (puntos)</x:v>
      </x:c>
      <x:c r="C5" s="26" t="str">
        <x:v>Evidencia a observar</x:v>
      </x:c>
      <x:c r="D5" s="26" t="str">
        <x:v>Equipo 1</x:v>
      </x:c>
      <x:c r="E5" s="26" t="str">
        <x:v>Equipo 2</x:v>
      </x:c>
      <x:c r="F5" s="26" t="str">
        <x:v>Equipo 3</x:v>
      </x:c>
      <x:c r="G5" s="26" t="str">
        <x:v>Equipo 4</x:v>
      </x:c>
      <x:c r="H5" s="26" t="str">
        <x:v>Equipo 5</x:v>
      </x:c>
      <x:c r="I5" s="26" t="str">
        <x:v>Equipo 6</x:v>
      </x:c>
      <x:c r="J5" s="26" t="str">
        <x:v>Equipo 7</x:v>
      </x:c>
      <x:c r="K5" s="27" t="str">
        <x:v>Equipo 8</x:v>
      </x:c>
    </x:row>
    <x:row r="6" ht="48" customHeight="1">
      <x:c r="A6" s="44" t="str">
        <x:v>Exactitud y trazabilidad</x:v>
      </x:c>
      <x:c r="B6" s="120" t="n">
        <x:v>30</x:v>
      </x:c>
      <x:c r="C6" s="44" t="str">
        <x:v>Cifras y afirmaciones concuerdan con las fuentes; los vacíos quedan señalados.</x:v>
      </x:c>
      <x:c r="D6" s="121"/>
      <x:c r="E6" s="121"/>
      <x:c r="F6" s="121"/>
      <x:c r="G6" s="121"/>
      <x:c r="H6" s="121"/>
      <x:c r="I6" s="121"/>
      <x:c r="J6" s="121"/>
      <x:c r="K6" s="121"/>
    </x:row>
    <x:row r="7" ht="48" customHeight="1">
      <x:c r="A7" s="45" t="str">
        <x:v>Uso responsable y revisión humana</x:v>
      </x:c>
      <x:c r="B7" s="122" t="n">
        <x:v>25</x:v>
      </x:c>
      <x:c r="C7" s="45" t="str">
        <x:v>Usa información permitida, identifica límites y reserva las decisiones a responsables.</x:v>
      </x:c>
      <x:c r="D7" s="123"/>
      <x:c r="E7" s="123"/>
      <x:c r="F7" s="123"/>
      <x:c r="G7" s="123"/>
      <x:c r="H7" s="123"/>
      <x:c r="I7" s="123"/>
      <x:c r="J7" s="123"/>
      <x:c r="K7" s="123"/>
    </x:row>
    <x:row r="8" ht="48" customHeight="1">
      <x:c r="A8" s="45" t="str">
        <x:v>Utilidad del producto</x:v>
      </x:c>
      <x:c r="B8" s="122" t="n">
        <x:v>20</x:v>
      </x:c>
      <x:c r="C8" s="45" t="str">
        <x:v>El informe y la comunicación responden al encargo y facilitan una acción concreta.</x:v>
      </x:c>
      <x:c r="D8" s="123"/>
      <x:c r="E8" s="123"/>
      <x:c r="F8" s="123"/>
      <x:c r="G8" s="123"/>
      <x:c r="H8" s="123"/>
      <x:c r="I8" s="123"/>
      <x:c r="J8" s="123"/>
      <x:c r="K8" s="123"/>
    </x:row>
    <x:row r="9" ht="48" customHeight="1">
      <x:c r="A9" s="45" t="str">
        <x:v>Eficiencia verificada</x:v>
      </x:c>
      <x:c r="B9" s="122" t="n">
        <x:v>15</x:v>
      </x:c>
      <x:c r="C9" s="45" t="str">
        <x:v>Compara tiempos en una tarea equivalente y describe cómo midió el ahorro.</x:v>
      </x:c>
      <x:c r="D9" s="123"/>
      <x:c r="E9" s="123"/>
      <x:c r="F9" s="123"/>
      <x:c r="G9" s="123"/>
      <x:c r="H9" s="123"/>
      <x:c r="I9" s="123"/>
      <x:c r="J9" s="123"/>
      <x:c r="K9" s="123"/>
    </x:row>
    <x:row r="10" ht="48" customHeight="1">
      <x:c r="A10" s="45" t="str">
        <x:v>Comunicación del proceso</x:v>
      </x:c>
      <x:c r="B10" s="122" t="n">
        <x:v>10</x:v>
      </x:c>
      <x:c r="C10" s="45" t="str">
        <x:v>Explica el prompt, los cambios, las comprobaciones y qué no aceptó de la IA.</x:v>
      </x:c>
      <x:c r="D10" s="123"/>
      <x:c r="E10" s="123"/>
      <x:c r="F10" s="123"/>
      <x:c r="G10" s="123"/>
      <x:c r="H10" s="123"/>
      <x:c r="I10" s="123"/>
      <x:c r="J10" s="123"/>
      <x:c r="K10" s="123"/>
    </x:row>
    <x:row r="11">
      <x:c r="A11" s="124" t="str">
        <x:v>Puntaje ponderado</x:v>
      </x:c>
      <x:c r="B11" s="125" t="n">
        <x:v>100</x:v>
      </x:c>
      <x:c r="C11" s="124" t="str">
        <x:v>Sobre 100. Deja vacío hasta calificar los cinco criterios.</x:v>
      </x:c>
      <x:c r="D11" s="126" t="str">
        <x:f>IF(COUNT(D6:D10)&lt;5,"",SUMPRODUCT($B$6:$B$10,D6:D10)/4)</x:f>
      </x:c>
      <x:c r="E11" s="126" t="str">
        <x:f>IF(COUNT(E6:E10)&lt;5,"",SUMPRODUCT($B$6:$B$10,E6:E10)/4)</x:f>
      </x:c>
      <x:c r="F11" s="126" t="str">
        <x:f>IF(COUNT(F6:F10)&lt;5,"",SUMPRODUCT($B$6:$B$10,F6:F10)/4)</x:f>
      </x:c>
      <x:c r="G11" s="126" t="str">
        <x:f>IF(COUNT(G6:G10)&lt;5,"",SUMPRODUCT($B$6:$B$10,G6:G10)/4)</x:f>
      </x:c>
      <x:c r="H11" s="126" t="str">
        <x:f>IF(COUNT(H6:H10)&lt;5,"",SUMPRODUCT($B$6:$B$10,H6:H10)/4)</x:f>
      </x:c>
      <x:c r="I11" s="126" t="str">
        <x:f>IF(COUNT(I6:I10)&lt;5,"",SUMPRODUCT($B$6:$B$10,I6:I10)/4)</x:f>
      </x:c>
      <x:c r="J11" s="126" t="str">
        <x:f>IF(COUNT(J6:J10)&lt;5,"",SUMPRODUCT($B$6:$B$10,J6:J10)/4)</x:f>
      </x:c>
      <x:c r="K11" s="126" t="str">
        <x:f>IF(COUNT(K6:K10)&lt;5,"",SUMPRODUCT($B$6:$B$10,K6:K10)/4)</x:f>
      </x:c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</x:row>
    <x:row r="14">
      <x:c r="A14" s="14" t="str">
        <x:v>Retroalimentación breve</x:v>
      </x:c>
      <x:c r="B14" s="15"/>
      <x:c r="C14" s="15"/>
      <x:c r="D14" s="15"/>
      <x:c r="E14" s="15"/>
      <x:c r="F14" s="15"/>
      <x:c r="G14" s="15"/>
      <x:c r="H14" s="15"/>
      <x:c r="I14" s="15"/>
      <x:c r="J14" s="15"/>
      <x:c r="K14" s="16"/>
    </x:row>
    <x:row r="15">
      <x:c r="A15" s="25" t="str">
        <x:v>Elemento</x:v>
      </x:c>
      <x:c r="B15" s="26" t="str">
        <x:v>Equipo 1</x:v>
      </x:c>
      <x:c r="C15" s="26" t="str">
        <x:v>Equipo 2</x:v>
      </x:c>
      <x:c r="D15" s="26" t="str">
        <x:v>Equipo 3</x:v>
      </x:c>
      <x:c r="E15" s="26" t="str">
        <x:v>Equipo 4</x:v>
      </x:c>
      <x:c r="F15" s="26" t="str">
        <x:v>Equipo 5</x:v>
      </x:c>
      <x:c r="G15" s="26" t="str">
        <x:v>Equipo 6</x:v>
      </x:c>
      <x:c r="H15" s="26" t="str">
        <x:v>Equipo 7</x:v>
      </x:c>
      <x:c r="I15" s="27" t="str">
        <x:v>Equipo 8</x:v>
      </x:c>
      <x:c r="J15" s="11"/>
      <x:c r="K15" s="11"/>
    </x:row>
    <x:row r="16" ht="42" customHeight="1">
      <x:c r="A16" s="32" t="str">
        <x:v>Fortaleza observada</x:v>
      </x:c>
      <x:c r="B16" s="127"/>
      <x:c r="C16" s="127"/>
      <x:c r="D16" s="127"/>
      <x:c r="E16" s="127"/>
      <x:c r="F16" s="127"/>
      <x:c r="G16" s="127"/>
      <x:c r="H16" s="127"/>
      <x:c r="I16" s="127"/>
      <x:c r="J16" s="11"/>
      <x:c r="K16" s="11"/>
    </x:row>
    <x:row r="17" ht="42" customHeight="1">
      <x:c r="A17" s="38" t="str">
        <x:v>Siguiente mejora concreta</x:v>
      </x:c>
      <x:c r="B17" s="128"/>
      <x:c r="C17" s="128"/>
      <x:c r="D17" s="128"/>
      <x:c r="E17" s="128"/>
      <x:c r="F17" s="128"/>
      <x:c r="G17" s="128"/>
      <x:c r="H17" s="128"/>
      <x:c r="I17" s="128"/>
      <x:c r="J17" s="11"/>
      <x:c r="K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</x:row>
    <x:row r="20">
      <x:c r="A20" s="14" t="str">
        <x:v>Escala común de 1 a 4</x:v>
      </x:c>
      <x:c r="B20" s="15"/>
      <x:c r="C20" s="16"/>
      <x:c r="D20" s="11"/>
      <x:c r="E20" s="11"/>
      <x:c r="F20" s="11"/>
      <x:c r="G20" s="11"/>
      <x:c r="H20" s="11"/>
      <x:c r="I20" s="11"/>
      <x:c r="J20" s="11"/>
      <x:c r="K20" s="11"/>
    </x:row>
    <x:row r="21" ht="28" customHeight="1">
      <x:c r="A21" s="129" t="n">
        <x:v>1</x:v>
      </x:c>
      <x:c r="B21" s="43" t="str">
        <x:v>Evidencia incompleta o incorrecta; requiere rehacerse.</x:v>
      </x:c>
      <x:c r="C21" s="43"/>
      <x:c r="D21" s="11"/>
      <x:c r="E21" s="11"/>
      <x:c r="F21" s="11"/>
      <x:c r="G21" s="11"/>
      <x:c r="H21" s="11"/>
      <x:c r="I21" s="11"/>
      <x:c r="J21" s="11"/>
      <x:c r="K21" s="11"/>
    </x:row>
    <x:row r="22" ht="28" customHeight="1">
      <x:c r="A22" s="129" t="n">
        <x:v>2</x:v>
      </x:c>
      <x:c r="B22" s="43" t="str">
        <x:v>Cumple parcialmente; requiere correcciones importantes.</x:v>
      </x:c>
      <x:c r="C22" s="43"/>
      <x:c r="D22" s="11"/>
      <x:c r="E22" s="11"/>
      <x:c r="F22" s="11"/>
      <x:c r="G22" s="11"/>
      <x:c r="H22" s="11"/>
      <x:c r="I22" s="11"/>
      <x:c r="J22" s="11"/>
      <x:c r="K22" s="11"/>
    </x:row>
    <x:row r="23" ht="28" customHeight="1">
      <x:c r="A23" s="129" t="n">
        <x:v>3</x:v>
      </x:c>
      <x:c r="B23" s="43" t="str">
        <x:v>Cumple el criterio; requiere correcciones menores.</x:v>
      </x:c>
      <x:c r="C23" s="43"/>
      <x:c r="D23" s="11"/>
      <x:c r="E23" s="11"/>
      <x:c r="F23" s="11"/>
      <x:c r="G23" s="11"/>
      <x:c r="H23" s="11"/>
      <x:c r="I23" s="11"/>
      <x:c r="J23" s="11"/>
      <x:c r="K23" s="11"/>
    </x:row>
    <x:row r="24" ht="28" customHeight="1">
      <x:c r="A24" s="129" t="n">
        <x:v>4</x:v>
      </x:c>
      <x:c r="B24" s="43" t="str">
        <x:v>Completo, verificable y fácil de repetir en el trabajo.</x:v>
      </x:c>
      <x:c r="C24" s="43"/>
      <x:c r="D24" s="11"/>
      <x:c r="E24" s="11"/>
      <x:c r="F24" s="11"/>
      <x:c r="G24" s="11"/>
      <x:c r="H24" s="11"/>
      <x:c r="I24" s="11"/>
      <x:c r="J24" s="11"/>
      <x:c r="K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</x:row>
  </x:sheetData>
  <x:mergeCells>
    <x:mergeCell ref="A4:K4"/>
    <x:mergeCell ref="B21:C21"/>
    <x:mergeCell ref="B22:C22"/>
    <x:mergeCell ref="B23:C23"/>
    <x:mergeCell ref="B24:C24"/>
  </x:mergeCells>
  <x:dataValidations count="1">
    <x:dataValidation type="whole" operator="between" sqref="D6:K10">
      <x:formula1>1</x:formula1>
      <x:formula2>4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E8F1E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36" hidden="0" customWidth="1"/>
    <x:col min="4" max="4" width="20" hidden="0" customWidth="1"/>
    <x:col min="5" max="5" width="21" hidden="0" customWidth="1"/>
    <x:col min="6" max="6" width="18" hidden="0" customWidth="1"/>
    <x:col min="7" max="7" width="17" hidden="0" customWidth="1"/>
    <x:col min="8" max="8" width="23" hidden="0" customWidth="1"/>
    <x:col min="9" max="9" width="23" hidden="0" customWidth="1"/>
    <x:col min="10" max="10" width="35" hidden="0" customWidth="1"/>
    <x:col min="11" max="11" width="27" hidden="0" customWidth="1"/>
    <x:col min="12" max="12" width="18" hidden="0" customWidth="1"/>
    <x:col min="13" max="13" width="19" hidden="0" customWidth="1"/>
    <x:col min="14" max="14" width="40" hidden="0" customWidth="1"/>
    <x:col min="15" max="15" width="35" hidden="0" customWidth="1"/>
  </x:cols>
  <x:sheetData>
    <x:row r="1" ht="27" customHeight="1">
      <x:c r="A1" s="9" t="str">
        <x:v>Transferencia al puesto de trabajo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</x:row>
    <x:row r="2" ht="30" customHeight="1">
      <x:c r="A2" s="7" t="str">
        <x:v>Plan de un piloto pequeño por participante y revisión a 30 días. Las horas son una proyección de cuatro semanas, no un ahorro institucional confirmado.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 ht="48" customHeight="1">
      <x:c r="A4" s="25" t="str">
        <x:v>Código</x:v>
      </x:c>
      <x:c r="B4" s="26" t="str">
        <x:v>Área</x:v>
      </x:c>
      <x:c r="C4" s="26" t="str">
        <x:v>Proceso elegido</x:v>
      </x:c>
      <x:c r="D4" s="26" t="str">
        <x:v>Min sin IA por unidad</x:v>
      </x:c>
      <x:c r="E4" s="26" t="str">
        <x:v>Min con IA por unidad</x:v>
      </x:c>
      <x:c r="F4" s="26" t="str">
        <x:v>Unidades por semana</x:v>
      </x:c>
      <x:c r="G4" s="26" t="str">
        <x:v>Calidad validada</x:v>
      </x:c>
      <x:c r="H4" s="26" t="str">
        <x:v>Revisión humana completada</x:v>
      </x:c>
      <x:c r="I4" s="26" t="str">
        <x:v>Ahorro proyectado en 4 semanas (h)</x:v>
      </x:c>
      <x:c r="J4" s="26" t="str">
        <x:v>Primer paso</x:v>
      </x:c>
      <x:c r="K4" s="26" t="str">
        <x:v>Responsable del proceso</x:v>
      </x:c>
      <x:c r="L4" s="26" t="str">
        <x:v>Fecha del piloto</x:v>
      </x:c>
      <x:c r="M4" s="26" t="str">
        <x:v>Revisión a 30 días</x:v>
      </x:c>
      <x:c r="N4" s="26" t="str">
        <x:v>Evidencia o cambio observado</x:v>
      </x:c>
      <x:c r="O4" s="27" t="str">
        <x:v>Riesgo o límite a vigilar</x:v>
      </x:c>
    </x:row>
    <x:row r="5" ht="34" customHeight="1">
      <x:c r="A5" s="74"/>
      <x:c r="B5" s="74"/>
      <x:c r="C5" s="74"/>
      <x:c r="D5" s="100"/>
      <x:c r="E5" s="100"/>
      <x:c r="F5" s="100"/>
      <x:c r="G5" s="74"/>
      <x:c r="H5" s="74"/>
      <x:c r="I5" s="101" t="str">
        <x:f>IF(AND(A5&lt;&gt;"",C5&lt;&gt;"",ISNUMBER(D5),D5&gt;0,ISNUMBER(E5),E5&gt;=0,ISNUMBER(F5),F5&gt;0,G5="Sí",H5="Sí"),MAX(0,(D5-E5)*F5*4/60),"")</x:f>
      </x:c>
      <x:c r="J5" s="74"/>
      <x:c r="K5" s="74"/>
      <x:c r="L5" s="133"/>
      <x:c r="M5" s="133"/>
      <x:c r="N5" s="74"/>
      <x:c r="O5" s="74"/>
    </x:row>
    <x:row r="6" ht="34" customHeight="1">
      <x:c r="A6" s="78"/>
      <x:c r="B6" s="78"/>
      <x:c r="C6" s="78"/>
      <x:c r="D6" s="102"/>
      <x:c r="E6" s="102"/>
      <x:c r="F6" s="102"/>
      <x:c r="G6" s="78"/>
      <x:c r="H6" s="78"/>
      <x:c r="I6" s="103" t="str">
        <x:f>IF(AND(A6&lt;&gt;"",C6&lt;&gt;"",ISNUMBER(D6),D6&gt;0,ISNUMBER(E6),E6&gt;=0,ISNUMBER(F6),F6&gt;0,G6="Sí",H6="Sí"),MAX(0,(D6-E6)*F6*4/60),"")</x:f>
      </x:c>
      <x:c r="J6" s="78"/>
      <x:c r="K6" s="78"/>
      <x:c r="L6" s="134"/>
      <x:c r="M6" s="134"/>
      <x:c r="N6" s="78"/>
      <x:c r="O6" s="78"/>
    </x:row>
    <x:row r="7" ht="34" customHeight="1">
      <x:c r="A7" s="78"/>
      <x:c r="B7" s="78"/>
      <x:c r="C7" s="78"/>
      <x:c r="D7" s="102"/>
      <x:c r="E7" s="102"/>
      <x:c r="F7" s="102"/>
      <x:c r="G7" s="78"/>
      <x:c r="H7" s="78"/>
      <x:c r="I7" s="103" t="str">
        <x:f>IF(AND(A7&lt;&gt;"",C7&lt;&gt;"",ISNUMBER(D7),D7&gt;0,ISNUMBER(E7),E7&gt;=0,ISNUMBER(F7),F7&gt;0,G7="Sí",H7="Sí"),MAX(0,(D7-E7)*F7*4/60),"")</x:f>
      </x:c>
      <x:c r="J7" s="78"/>
      <x:c r="K7" s="78"/>
      <x:c r="L7" s="134"/>
      <x:c r="M7" s="134"/>
      <x:c r="N7" s="78"/>
      <x:c r="O7" s="78"/>
    </x:row>
    <x:row r="8" ht="34" customHeight="1">
      <x:c r="A8" s="78"/>
      <x:c r="B8" s="78"/>
      <x:c r="C8" s="78"/>
      <x:c r="D8" s="102"/>
      <x:c r="E8" s="102"/>
      <x:c r="F8" s="102"/>
      <x:c r="G8" s="78"/>
      <x:c r="H8" s="78"/>
      <x:c r="I8" s="103" t="str">
        <x:f>IF(AND(A8&lt;&gt;"",C8&lt;&gt;"",ISNUMBER(D8),D8&gt;0,ISNUMBER(E8),E8&gt;=0,ISNUMBER(F8),F8&gt;0,G8="Sí",H8="Sí"),MAX(0,(D8-E8)*F8*4/60),"")</x:f>
      </x:c>
      <x:c r="J8" s="78"/>
      <x:c r="K8" s="78"/>
      <x:c r="L8" s="134"/>
      <x:c r="M8" s="134"/>
      <x:c r="N8" s="78"/>
      <x:c r="O8" s="78"/>
    </x:row>
    <x:row r="9" ht="34" customHeight="1">
      <x:c r="A9" s="78"/>
      <x:c r="B9" s="78"/>
      <x:c r="C9" s="78"/>
      <x:c r="D9" s="102"/>
      <x:c r="E9" s="102"/>
      <x:c r="F9" s="102"/>
      <x:c r="G9" s="78"/>
      <x:c r="H9" s="78"/>
      <x:c r="I9" s="103" t="str">
        <x:f>IF(AND(A9&lt;&gt;"",C9&lt;&gt;"",ISNUMBER(D9),D9&gt;0,ISNUMBER(E9),E9&gt;=0,ISNUMBER(F9),F9&gt;0,G9="Sí",H9="Sí"),MAX(0,(D9-E9)*F9*4/60),"")</x:f>
      </x:c>
      <x:c r="J9" s="78"/>
      <x:c r="K9" s="78"/>
      <x:c r="L9" s="134"/>
      <x:c r="M9" s="134"/>
      <x:c r="N9" s="78"/>
      <x:c r="O9" s="78"/>
    </x:row>
    <x:row r="10" ht="34" customHeight="1">
      <x:c r="A10" s="78"/>
      <x:c r="B10" s="78"/>
      <x:c r="C10" s="78"/>
      <x:c r="D10" s="102"/>
      <x:c r="E10" s="102"/>
      <x:c r="F10" s="102"/>
      <x:c r="G10" s="78"/>
      <x:c r="H10" s="78"/>
      <x:c r="I10" s="103" t="str">
        <x:f>IF(AND(A10&lt;&gt;"",C10&lt;&gt;"",ISNUMBER(D10),D10&gt;0,ISNUMBER(E10),E10&gt;=0,ISNUMBER(F10),F10&gt;0,G10="Sí",H10="Sí"),MAX(0,(D10-E10)*F10*4/60),"")</x:f>
      </x:c>
      <x:c r="J10" s="78"/>
      <x:c r="K10" s="78"/>
      <x:c r="L10" s="134"/>
      <x:c r="M10" s="134"/>
      <x:c r="N10" s="78"/>
      <x:c r="O10" s="78"/>
    </x:row>
    <x:row r="11" ht="34" customHeight="1">
      <x:c r="A11" s="78"/>
      <x:c r="B11" s="78"/>
      <x:c r="C11" s="78"/>
      <x:c r="D11" s="102"/>
      <x:c r="E11" s="102"/>
      <x:c r="F11" s="102"/>
      <x:c r="G11" s="78"/>
      <x:c r="H11" s="78"/>
      <x:c r="I11" s="103" t="str">
        <x:f>IF(AND(A11&lt;&gt;"",C11&lt;&gt;"",ISNUMBER(D11),D11&gt;0,ISNUMBER(E11),E11&gt;=0,ISNUMBER(F11),F11&gt;0,G11="Sí",H11="Sí"),MAX(0,(D11-E11)*F11*4/60),"")</x:f>
      </x:c>
      <x:c r="J11" s="78"/>
      <x:c r="K11" s="78"/>
      <x:c r="L11" s="134"/>
      <x:c r="M11" s="134"/>
      <x:c r="N11" s="78"/>
      <x:c r="O11" s="78"/>
    </x:row>
    <x:row r="12" ht="34" customHeight="1">
      <x:c r="A12" s="78"/>
      <x:c r="B12" s="78"/>
      <x:c r="C12" s="78"/>
      <x:c r="D12" s="102"/>
      <x:c r="E12" s="102"/>
      <x:c r="F12" s="102"/>
      <x:c r="G12" s="78"/>
      <x:c r="H12" s="78"/>
      <x:c r="I12" s="103" t="str">
        <x:f>IF(AND(A12&lt;&gt;"",C12&lt;&gt;"",ISNUMBER(D12),D12&gt;0,ISNUMBER(E12),E12&gt;=0,ISNUMBER(F12),F12&gt;0,G12="Sí",H12="Sí"),MAX(0,(D12-E12)*F12*4/60),"")</x:f>
      </x:c>
      <x:c r="J12" s="78"/>
      <x:c r="K12" s="78"/>
      <x:c r="L12" s="134"/>
      <x:c r="M12" s="134"/>
      <x:c r="N12" s="78"/>
      <x:c r="O12" s="78"/>
    </x:row>
    <x:row r="13" ht="34" customHeight="1">
      <x:c r="A13" s="78"/>
      <x:c r="B13" s="78"/>
      <x:c r="C13" s="78"/>
      <x:c r="D13" s="102"/>
      <x:c r="E13" s="102"/>
      <x:c r="F13" s="102"/>
      <x:c r="G13" s="78"/>
      <x:c r="H13" s="78"/>
      <x:c r="I13" s="103" t="str">
        <x:f>IF(AND(A13&lt;&gt;"",C13&lt;&gt;"",ISNUMBER(D13),D13&gt;0,ISNUMBER(E13),E13&gt;=0,ISNUMBER(F13),F13&gt;0,G13="Sí",H13="Sí"),MAX(0,(D13-E13)*F13*4/60),"")</x:f>
      </x:c>
      <x:c r="J13" s="78"/>
      <x:c r="K13" s="78"/>
      <x:c r="L13" s="134"/>
      <x:c r="M13" s="134"/>
      <x:c r="N13" s="78"/>
      <x:c r="O13" s="78"/>
    </x:row>
    <x:row r="14" ht="34" customHeight="1">
      <x:c r="A14" s="78"/>
      <x:c r="B14" s="78"/>
      <x:c r="C14" s="78"/>
      <x:c r="D14" s="102"/>
      <x:c r="E14" s="102"/>
      <x:c r="F14" s="102"/>
      <x:c r="G14" s="78"/>
      <x:c r="H14" s="78"/>
      <x:c r="I14" s="103" t="str">
        <x:f>IF(AND(A14&lt;&gt;"",C14&lt;&gt;"",ISNUMBER(D14),D14&gt;0,ISNUMBER(E14),E14&gt;=0,ISNUMBER(F14),F14&gt;0,G14="Sí",H14="Sí"),MAX(0,(D14-E14)*F14*4/60),"")</x:f>
      </x:c>
      <x:c r="J14" s="78"/>
      <x:c r="K14" s="78"/>
      <x:c r="L14" s="134"/>
      <x:c r="M14" s="134"/>
      <x:c r="N14" s="78"/>
      <x:c r="O14" s="78"/>
    </x:row>
    <x:row r="15" ht="34" customHeight="1">
      <x:c r="A15" s="78"/>
      <x:c r="B15" s="78"/>
      <x:c r="C15" s="78"/>
      <x:c r="D15" s="102"/>
      <x:c r="E15" s="102"/>
      <x:c r="F15" s="102"/>
      <x:c r="G15" s="78"/>
      <x:c r="H15" s="78"/>
      <x:c r="I15" s="103" t="str">
        <x:f>IF(AND(A15&lt;&gt;"",C15&lt;&gt;"",ISNUMBER(D15),D15&gt;0,ISNUMBER(E15),E15&gt;=0,ISNUMBER(F15),F15&gt;0,G15="Sí",H15="Sí"),MAX(0,(D15-E15)*F15*4/60),"")</x:f>
      </x:c>
      <x:c r="J15" s="78"/>
      <x:c r="K15" s="78"/>
      <x:c r="L15" s="134"/>
      <x:c r="M15" s="134"/>
      <x:c r="N15" s="78"/>
      <x:c r="O15" s="78"/>
    </x:row>
    <x:row r="16" ht="34" customHeight="1">
      <x:c r="A16" s="78"/>
      <x:c r="B16" s="78"/>
      <x:c r="C16" s="78"/>
      <x:c r="D16" s="102"/>
      <x:c r="E16" s="102"/>
      <x:c r="F16" s="102"/>
      <x:c r="G16" s="78"/>
      <x:c r="H16" s="78"/>
      <x:c r="I16" s="103" t="str">
        <x:f>IF(AND(A16&lt;&gt;"",C16&lt;&gt;"",ISNUMBER(D16),D16&gt;0,ISNUMBER(E16),E16&gt;=0,ISNUMBER(F16),F16&gt;0,G16="Sí",H16="Sí"),MAX(0,(D16-E16)*F16*4/60),"")</x:f>
      </x:c>
      <x:c r="J16" s="78"/>
      <x:c r="K16" s="78"/>
      <x:c r="L16" s="134"/>
      <x:c r="M16" s="134"/>
      <x:c r="N16" s="78"/>
      <x:c r="O16" s="78"/>
    </x:row>
    <x:row r="17" ht="34" customHeight="1">
      <x:c r="A17" s="78"/>
      <x:c r="B17" s="78"/>
      <x:c r="C17" s="78"/>
      <x:c r="D17" s="102"/>
      <x:c r="E17" s="102"/>
      <x:c r="F17" s="102"/>
      <x:c r="G17" s="78"/>
      <x:c r="H17" s="78"/>
      <x:c r="I17" s="103" t="str">
        <x:f>IF(AND(A17&lt;&gt;"",C17&lt;&gt;"",ISNUMBER(D17),D17&gt;0,ISNUMBER(E17),E17&gt;=0,ISNUMBER(F17),F17&gt;0,G17="Sí",H17="Sí"),MAX(0,(D17-E17)*F17*4/60),"")</x:f>
      </x:c>
      <x:c r="J17" s="78"/>
      <x:c r="K17" s="78"/>
      <x:c r="L17" s="134"/>
      <x:c r="M17" s="134"/>
      <x:c r="N17" s="78"/>
      <x:c r="O17" s="78"/>
    </x:row>
    <x:row r="18" ht="34" customHeight="1">
      <x:c r="A18" s="78"/>
      <x:c r="B18" s="78"/>
      <x:c r="C18" s="78"/>
      <x:c r="D18" s="102"/>
      <x:c r="E18" s="102"/>
      <x:c r="F18" s="102"/>
      <x:c r="G18" s="78"/>
      <x:c r="H18" s="78"/>
      <x:c r="I18" s="103" t="str">
        <x:f>IF(AND(A18&lt;&gt;"",C18&lt;&gt;"",ISNUMBER(D18),D18&gt;0,ISNUMBER(E18),E18&gt;=0,ISNUMBER(F18),F18&gt;0,G18="Sí",H18="Sí"),MAX(0,(D18-E18)*F18*4/60),"")</x:f>
      </x:c>
      <x:c r="J18" s="78"/>
      <x:c r="K18" s="78"/>
      <x:c r="L18" s="134"/>
      <x:c r="M18" s="134"/>
      <x:c r="N18" s="78"/>
      <x:c r="O18" s="78"/>
    </x:row>
    <x:row r="19" ht="34" customHeight="1">
      <x:c r="A19" s="78"/>
      <x:c r="B19" s="78"/>
      <x:c r="C19" s="78"/>
      <x:c r="D19" s="102"/>
      <x:c r="E19" s="102"/>
      <x:c r="F19" s="102"/>
      <x:c r="G19" s="78"/>
      <x:c r="H19" s="78"/>
      <x:c r="I19" s="103" t="str">
        <x:f>IF(AND(A19&lt;&gt;"",C19&lt;&gt;"",ISNUMBER(D19),D19&gt;0,ISNUMBER(E19),E19&gt;=0,ISNUMBER(F19),F19&gt;0,G19="Sí",H19="Sí"),MAX(0,(D19-E19)*F19*4/60),"")</x:f>
      </x:c>
      <x:c r="J19" s="78"/>
      <x:c r="K19" s="78"/>
      <x:c r="L19" s="134"/>
      <x:c r="M19" s="134"/>
      <x:c r="N19" s="78"/>
      <x:c r="O19" s="78"/>
    </x:row>
    <x:row r="20" ht="34" customHeight="1">
      <x:c r="A20" s="78"/>
      <x:c r="B20" s="78"/>
      <x:c r="C20" s="78"/>
      <x:c r="D20" s="102"/>
      <x:c r="E20" s="102"/>
      <x:c r="F20" s="102"/>
      <x:c r="G20" s="78"/>
      <x:c r="H20" s="78"/>
      <x:c r="I20" s="103" t="str">
        <x:f>IF(AND(A20&lt;&gt;"",C20&lt;&gt;"",ISNUMBER(D20),D20&gt;0,ISNUMBER(E20),E20&gt;=0,ISNUMBER(F20),F20&gt;0,G20="Sí",H20="Sí"),MAX(0,(D20-E20)*F20*4/60),"")</x:f>
      </x:c>
      <x:c r="J20" s="78"/>
      <x:c r="K20" s="78"/>
      <x:c r="L20" s="134"/>
      <x:c r="M20" s="134"/>
      <x:c r="N20" s="78"/>
      <x:c r="O20" s="78"/>
    </x:row>
    <x:row r="21" ht="34" customHeight="1">
      <x:c r="A21" s="78"/>
      <x:c r="B21" s="78"/>
      <x:c r="C21" s="78"/>
      <x:c r="D21" s="102"/>
      <x:c r="E21" s="102"/>
      <x:c r="F21" s="102"/>
      <x:c r="G21" s="78"/>
      <x:c r="H21" s="78"/>
      <x:c r="I21" s="103" t="str">
        <x:f>IF(AND(A21&lt;&gt;"",C21&lt;&gt;"",ISNUMBER(D21),D21&gt;0,ISNUMBER(E21),E21&gt;=0,ISNUMBER(F21),F21&gt;0,G21="Sí",H21="Sí"),MAX(0,(D21-E21)*F21*4/60),"")</x:f>
      </x:c>
      <x:c r="J21" s="78"/>
      <x:c r="K21" s="78"/>
      <x:c r="L21" s="134"/>
      <x:c r="M21" s="134"/>
      <x:c r="N21" s="78"/>
      <x:c r="O21" s="78"/>
    </x:row>
    <x:row r="22" ht="34" customHeight="1">
      <x:c r="A22" s="78"/>
      <x:c r="B22" s="78"/>
      <x:c r="C22" s="78"/>
      <x:c r="D22" s="102"/>
      <x:c r="E22" s="102"/>
      <x:c r="F22" s="102"/>
      <x:c r="G22" s="78"/>
      <x:c r="H22" s="78"/>
      <x:c r="I22" s="103" t="str">
        <x:f>IF(AND(A22&lt;&gt;"",C22&lt;&gt;"",ISNUMBER(D22),D22&gt;0,ISNUMBER(E22),E22&gt;=0,ISNUMBER(F22),F22&gt;0,G22="Sí",H22="Sí"),MAX(0,(D22-E22)*F22*4/60),"")</x:f>
      </x:c>
      <x:c r="J22" s="78"/>
      <x:c r="K22" s="78"/>
      <x:c r="L22" s="134"/>
      <x:c r="M22" s="134"/>
      <x:c r="N22" s="78"/>
      <x:c r="O22" s="78"/>
    </x:row>
    <x:row r="23" ht="34" customHeight="1">
      <x:c r="A23" s="78"/>
      <x:c r="B23" s="78"/>
      <x:c r="C23" s="78"/>
      <x:c r="D23" s="102"/>
      <x:c r="E23" s="102"/>
      <x:c r="F23" s="102"/>
      <x:c r="G23" s="78"/>
      <x:c r="H23" s="78"/>
      <x:c r="I23" s="103" t="str">
        <x:f>IF(AND(A23&lt;&gt;"",C23&lt;&gt;"",ISNUMBER(D23),D23&gt;0,ISNUMBER(E23),E23&gt;=0,ISNUMBER(F23),F23&gt;0,G23="Sí",H23="Sí"),MAX(0,(D23-E23)*F23*4/60),"")</x:f>
      </x:c>
      <x:c r="J23" s="78"/>
      <x:c r="K23" s="78"/>
      <x:c r="L23" s="134"/>
      <x:c r="M23" s="134"/>
      <x:c r="N23" s="78"/>
      <x:c r="O23" s="78"/>
    </x:row>
    <x:row r="24" ht="34" customHeight="1">
      <x:c r="A24" s="78"/>
      <x:c r="B24" s="78"/>
      <x:c r="C24" s="78"/>
      <x:c r="D24" s="102"/>
      <x:c r="E24" s="102"/>
      <x:c r="F24" s="102"/>
      <x:c r="G24" s="78"/>
      <x:c r="H24" s="78"/>
      <x:c r="I24" s="103" t="str">
        <x:f>IF(AND(A24&lt;&gt;"",C24&lt;&gt;"",ISNUMBER(D24),D24&gt;0,ISNUMBER(E24),E24&gt;=0,ISNUMBER(F24),F24&gt;0,G24="Sí",H24="Sí"),MAX(0,(D24-E24)*F24*4/60),"")</x:f>
      </x:c>
      <x:c r="J24" s="78"/>
      <x:c r="K24" s="78"/>
      <x:c r="L24" s="134"/>
      <x:c r="M24" s="134"/>
      <x:c r="N24" s="78"/>
      <x:c r="O24" s="78"/>
    </x:row>
    <x:row r="25" ht="34" customHeight="1">
      <x:c r="A25" s="78"/>
      <x:c r="B25" s="78"/>
      <x:c r="C25" s="78"/>
      <x:c r="D25" s="102"/>
      <x:c r="E25" s="102"/>
      <x:c r="F25" s="102"/>
      <x:c r="G25" s="78"/>
      <x:c r="H25" s="78"/>
      <x:c r="I25" s="103" t="str">
        <x:f>IF(AND(A25&lt;&gt;"",C25&lt;&gt;"",ISNUMBER(D25),D25&gt;0,ISNUMBER(E25),E25&gt;=0,ISNUMBER(F25),F25&gt;0,G25="Sí",H25="Sí"),MAX(0,(D25-E25)*F25*4/60),"")</x:f>
      </x:c>
      <x:c r="J25" s="78"/>
      <x:c r="K25" s="78"/>
      <x:c r="L25" s="134"/>
      <x:c r="M25" s="134"/>
      <x:c r="N25" s="78"/>
      <x:c r="O25" s="78"/>
    </x:row>
    <x:row r="26" ht="34" customHeight="1">
      <x:c r="A26" s="78"/>
      <x:c r="B26" s="78"/>
      <x:c r="C26" s="78"/>
      <x:c r="D26" s="102"/>
      <x:c r="E26" s="102"/>
      <x:c r="F26" s="102"/>
      <x:c r="G26" s="78"/>
      <x:c r="H26" s="78"/>
      <x:c r="I26" s="103" t="str">
        <x:f>IF(AND(A26&lt;&gt;"",C26&lt;&gt;"",ISNUMBER(D26),D26&gt;0,ISNUMBER(E26),E26&gt;=0,ISNUMBER(F26),F26&gt;0,G26="Sí",H26="Sí"),MAX(0,(D26-E26)*F26*4/60),"")</x:f>
      </x:c>
      <x:c r="J26" s="78"/>
      <x:c r="K26" s="78"/>
      <x:c r="L26" s="134"/>
      <x:c r="M26" s="134"/>
      <x:c r="N26" s="78"/>
      <x:c r="O26" s="78"/>
    </x:row>
    <x:row r="27" ht="34" customHeight="1">
      <x:c r="A27" s="78"/>
      <x:c r="B27" s="78"/>
      <x:c r="C27" s="78"/>
      <x:c r="D27" s="102"/>
      <x:c r="E27" s="102"/>
      <x:c r="F27" s="102"/>
      <x:c r="G27" s="78"/>
      <x:c r="H27" s="78"/>
      <x:c r="I27" s="103" t="str">
        <x:f>IF(AND(A27&lt;&gt;"",C27&lt;&gt;"",ISNUMBER(D27),D27&gt;0,ISNUMBER(E27),E27&gt;=0,ISNUMBER(F27),F27&gt;0,G27="Sí",H27="Sí"),MAX(0,(D27-E27)*F27*4/60),"")</x:f>
      </x:c>
      <x:c r="J27" s="78"/>
      <x:c r="K27" s="78"/>
      <x:c r="L27" s="134"/>
      <x:c r="M27" s="134"/>
      <x:c r="N27" s="78"/>
      <x:c r="O27" s="78"/>
    </x:row>
    <x:row r="28" ht="34" customHeight="1">
      <x:c r="A28" s="78"/>
      <x:c r="B28" s="78"/>
      <x:c r="C28" s="78"/>
      <x:c r="D28" s="102"/>
      <x:c r="E28" s="102"/>
      <x:c r="F28" s="102"/>
      <x:c r="G28" s="78"/>
      <x:c r="H28" s="78"/>
      <x:c r="I28" s="103" t="str">
        <x:f>IF(AND(A28&lt;&gt;"",C28&lt;&gt;"",ISNUMBER(D28),D28&gt;0,ISNUMBER(E28),E28&gt;=0,ISNUMBER(F28),F28&gt;0,G28="Sí",H28="Sí"),MAX(0,(D28-E28)*F28*4/60),"")</x:f>
      </x:c>
      <x:c r="J28" s="78"/>
      <x:c r="K28" s="78"/>
      <x:c r="L28" s="134"/>
      <x:c r="M28" s="134"/>
      <x:c r="N28" s="78"/>
      <x:c r="O28" s="78"/>
    </x:row>
    <x:row r="29" ht="34" customHeight="1">
      <x:c r="A29" s="78"/>
      <x:c r="B29" s="78"/>
      <x:c r="C29" s="78"/>
      <x:c r="D29" s="102"/>
      <x:c r="E29" s="102"/>
      <x:c r="F29" s="102"/>
      <x:c r="G29" s="78"/>
      <x:c r="H29" s="78"/>
      <x:c r="I29" s="103" t="str">
        <x:f>IF(AND(A29&lt;&gt;"",C29&lt;&gt;"",ISNUMBER(D29),D29&gt;0,ISNUMBER(E29),E29&gt;=0,ISNUMBER(F29),F29&gt;0,G29="Sí",H29="Sí"),MAX(0,(D29-E29)*F29*4/60),"")</x:f>
      </x:c>
      <x:c r="J29" s="78"/>
      <x:c r="K29" s="78"/>
      <x:c r="L29" s="134"/>
      <x:c r="M29" s="134"/>
      <x:c r="N29" s="78"/>
      <x:c r="O29" s="78"/>
    </x:row>
    <x:row r="30" ht="34" customHeight="1">
      <x:c r="A30" s="78"/>
      <x:c r="B30" s="78"/>
      <x:c r="C30" s="78"/>
      <x:c r="D30" s="102"/>
      <x:c r="E30" s="102"/>
      <x:c r="F30" s="102"/>
      <x:c r="G30" s="78"/>
      <x:c r="H30" s="78"/>
      <x:c r="I30" s="103" t="str">
        <x:f>IF(AND(A30&lt;&gt;"",C30&lt;&gt;"",ISNUMBER(D30),D30&gt;0,ISNUMBER(E30),E30&gt;=0,ISNUMBER(F30),F30&gt;0,G30="Sí",H30="Sí"),MAX(0,(D30-E30)*F30*4/60),"")</x:f>
      </x:c>
      <x:c r="J30" s="78"/>
      <x:c r="K30" s="78"/>
      <x:c r="L30" s="134"/>
      <x:c r="M30" s="134"/>
      <x:c r="N30" s="78"/>
      <x:c r="O30" s="78"/>
    </x:row>
    <x:row r="31" ht="34" customHeight="1">
      <x:c r="A31" s="78"/>
      <x:c r="B31" s="78"/>
      <x:c r="C31" s="78"/>
      <x:c r="D31" s="102"/>
      <x:c r="E31" s="102"/>
      <x:c r="F31" s="102"/>
      <x:c r="G31" s="78"/>
      <x:c r="H31" s="78"/>
      <x:c r="I31" s="103" t="str">
        <x:f>IF(AND(A31&lt;&gt;"",C31&lt;&gt;"",ISNUMBER(D31),D31&gt;0,ISNUMBER(E31),E31&gt;=0,ISNUMBER(F31),F31&gt;0,G31="Sí",H31="Sí"),MAX(0,(D31-E31)*F31*4/60),"")</x:f>
      </x:c>
      <x:c r="J31" s="78"/>
      <x:c r="K31" s="78"/>
      <x:c r="L31" s="134"/>
      <x:c r="M31" s="134"/>
      <x:c r="N31" s="78"/>
      <x:c r="O31" s="78"/>
    </x:row>
    <x:row r="32" ht="34" customHeight="1">
      <x:c r="A32" s="78"/>
      <x:c r="B32" s="78"/>
      <x:c r="C32" s="78"/>
      <x:c r="D32" s="102"/>
      <x:c r="E32" s="102"/>
      <x:c r="F32" s="102"/>
      <x:c r="G32" s="78"/>
      <x:c r="H32" s="78"/>
      <x:c r="I32" s="103" t="str">
        <x:f>IF(AND(A32&lt;&gt;"",C32&lt;&gt;"",ISNUMBER(D32),D32&gt;0,ISNUMBER(E32),E32&gt;=0,ISNUMBER(F32),F32&gt;0,G32="Sí",H32="Sí"),MAX(0,(D32-E32)*F32*4/60),"")</x:f>
      </x:c>
      <x:c r="J32" s="78"/>
      <x:c r="K32" s="78"/>
      <x:c r="L32" s="134"/>
      <x:c r="M32" s="134"/>
      <x:c r="N32" s="78"/>
      <x:c r="O32" s="78"/>
    </x:row>
    <x:row r="33" ht="34" customHeight="1">
      <x:c r="A33" s="78"/>
      <x:c r="B33" s="78"/>
      <x:c r="C33" s="78"/>
      <x:c r="D33" s="102"/>
      <x:c r="E33" s="102"/>
      <x:c r="F33" s="102"/>
      <x:c r="G33" s="78"/>
      <x:c r="H33" s="78"/>
      <x:c r="I33" s="103" t="str">
        <x:f>IF(AND(A33&lt;&gt;"",C33&lt;&gt;"",ISNUMBER(D33),D33&gt;0,ISNUMBER(E33),E33&gt;=0,ISNUMBER(F33),F33&gt;0,G33="Sí",H33="Sí"),MAX(0,(D33-E33)*F33*4/60),"")</x:f>
      </x:c>
      <x:c r="J33" s="78"/>
      <x:c r="K33" s="78"/>
      <x:c r="L33" s="134"/>
      <x:c r="M33" s="134"/>
      <x:c r="N33" s="78"/>
      <x:c r="O33" s="78"/>
    </x:row>
    <x:row r="34" ht="34" customHeight="1">
      <x:c r="A34" s="78"/>
      <x:c r="B34" s="78"/>
      <x:c r="C34" s="78"/>
      <x:c r="D34" s="102"/>
      <x:c r="E34" s="102"/>
      <x:c r="F34" s="102"/>
      <x:c r="G34" s="78"/>
      <x:c r="H34" s="78"/>
      <x:c r="I34" s="103" t="str">
        <x:f>IF(AND(A34&lt;&gt;"",C34&lt;&gt;"",ISNUMBER(D34),D34&gt;0,ISNUMBER(E34),E34&gt;=0,ISNUMBER(F34),F34&gt;0,G34="Sí",H34="Sí"),MAX(0,(D34-E34)*F34*4/60),"")</x:f>
      </x:c>
      <x:c r="J34" s="78"/>
      <x:c r="K34" s="78"/>
      <x:c r="L34" s="134"/>
      <x:c r="M34" s="134"/>
      <x:c r="N34" s="78"/>
      <x:c r="O34" s="78"/>
    </x:row>
    <x:row r="35" ht="34" customHeight="1">
      <x:c r="A35" s="78"/>
      <x:c r="B35" s="78"/>
      <x:c r="C35" s="78"/>
      <x:c r="D35" s="102"/>
      <x:c r="E35" s="102"/>
      <x:c r="F35" s="102"/>
      <x:c r="G35" s="78"/>
      <x:c r="H35" s="78"/>
      <x:c r="I35" s="103" t="str">
        <x:f>IF(AND(A35&lt;&gt;"",C35&lt;&gt;"",ISNUMBER(D35),D35&gt;0,ISNUMBER(E35),E35&gt;=0,ISNUMBER(F35),F35&gt;0,G35="Sí",H35="Sí"),MAX(0,(D35-E35)*F35*4/60),"")</x:f>
      </x:c>
      <x:c r="J35" s="78"/>
      <x:c r="K35" s="78"/>
      <x:c r="L35" s="134"/>
      <x:c r="M35" s="134"/>
      <x:c r="N35" s="78"/>
      <x:c r="O35" s="78"/>
    </x:row>
    <x:row r="36" ht="34" customHeight="1">
      <x:c r="A36" s="78"/>
      <x:c r="B36" s="78"/>
      <x:c r="C36" s="78"/>
      <x:c r="D36" s="102"/>
      <x:c r="E36" s="102"/>
      <x:c r="F36" s="102"/>
      <x:c r="G36" s="78"/>
      <x:c r="H36" s="78"/>
      <x:c r="I36" s="103" t="str">
        <x:f>IF(AND(A36&lt;&gt;"",C36&lt;&gt;"",ISNUMBER(D36),D36&gt;0,ISNUMBER(E36),E36&gt;=0,ISNUMBER(F36),F36&gt;0,G36="Sí",H36="Sí"),MAX(0,(D36-E36)*F36*4/60),"")</x:f>
      </x:c>
      <x:c r="J36" s="78"/>
      <x:c r="K36" s="78"/>
      <x:c r="L36" s="134"/>
      <x:c r="M36" s="134"/>
      <x:c r="N36" s="78"/>
      <x:c r="O36" s="78"/>
    </x:row>
    <x:row r="37" ht="34" customHeight="1">
      <x:c r="A37" s="78"/>
      <x:c r="B37" s="78"/>
      <x:c r="C37" s="78"/>
      <x:c r="D37" s="102"/>
      <x:c r="E37" s="102"/>
      <x:c r="F37" s="102"/>
      <x:c r="G37" s="78"/>
      <x:c r="H37" s="78"/>
      <x:c r="I37" s="103" t="str">
        <x:f>IF(AND(A37&lt;&gt;"",C37&lt;&gt;"",ISNUMBER(D37),D37&gt;0,ISNUMBER(E37),E37&gt;=0,ISNUMBER(F37),F37&gt;0,G37="Sí",H37="Sí"),MAX(0,(D37-E37)*F37*4/60),"")</x:f>
      </x:c>
      <x:c r="J37" s="78"/>
      <x:c r="K37" s="78"/>
      <x:c r="L37" s="134"/>
      <x:c r="M37" s="134"/>
      <x:c r="N37" s="78"/>
      <x:c r="O37" s="78"/>
    </x:row>
    <x:row r="38" ht="34" customHeight="1">
      <x:c r="A38" s="78"/>
      <x:c r="B38" s="78"/>
      <x:c r="C38" s="78"/>
      <x:c r="D38" s="102"/>
      <x:c r="E38" s="102"/>
      <x:c r="F38" s="102"/>
      <x:c r="G38" s="78"/>
      <x:c r="H38" s="78"/>
      <x:c r="I38" s="103" t="str">
        <x:f>IF(AND(A38&lt;&gt;"",C38&lt;&gt;"",ISNUMBER(D38),D38&gt;0,ISNUMBER(E38),E38&gt;=0,ISNUMBER(F38),F38&gt;0,G38="Sí",H38="Sí"),MAX(0,(D38-E38)*F38*4/60),"")</x:f>
      </x:c>
      <x:c r="J38" s="78"/>
      <x:c r="K38" s="78"/>
      <x:c r="L38" s="134"/>
      <x:c r="M38" s="134"/>
      <x:c r="N38" s="78"/>
      <x:c r="O38" s="78"/>
    </x:row>
    <x:row r="39" ht="34" customHeight="1">
      <x:c r="A39" s="78"/>
      <x:c r="B39" s="78"/>
      <x:c r="C39" s="78"/>
      <x:c r="D39" s="102"/>
      <x:c r="E39" s="102"/>
      <x:c r="F39" s="102"/>
      <x:c r="G39" s="78"/>
      <x:c r="H39" s="78"/>
      <x:c r="I39" s="103" t="str">
        <x:f>IF(AND(A39&lt;&gt;"",C39&lt;&gt;"",ISNUMBER(D39),D39&gt;0,ISNUMBER(E39),E39&gt;=0,ISNUMBER(F39),F39&gt;0,G39="Sí",H39="Sí"),MAX(0,(D39-E39)*F39*4/60),"")</x:f>
      </x:c>
      <x:c r="J39" s="78"/>
      <x:c r="K39" s="78"/>
      <x:c r="L39" s="134"/>
      <x:c r="M39" s="134"/>
      <x:c r="N39" s="78"/>
      <x:c r="O39" s="78"/>
    </x:row>
    <x:row r="40" ht="34" customHeight="1">
      <x:c r="A40" s="78"/>
      <x:c r="B40" s="78"/>
      <x:c r="C40" s="78"/>
      <x:c r="D40" s="102"/>
      <x:c r="E40" s="102"/>
      <x:c r="F40" s="102"/>
      <x:c r="G40" s="78"/>
      <x:c r="H40" s="78"/>
      <x:c r="I40" s="103" t="str">
        <x:f>IF(AND(A40&lt;&gt;"",C40&lt;&gt;"",ISNUMBER(D40),D40&gt;0,ISNUMBER(E40),E40&gt;=0,ISNUMBER(F40),F40&gt;0,G40="Sí",H40="Sí"),MAX(0,(D40-E40)*F40*4/60),"")</x:f>
      </x:c>
      <x:c r="J40" s="78"/>
      <x:c r="K40" s="78"/>
      <x:c r="L40" s="134"/>
      <x:c r="M40" s="134"/>
      <x:c r="N40" s="78"/>
      <x:c r="O40" s="78"/>
    </x:row>
    <x:row r="41" ht="34" customHeight="1">
      <x:c r="A41" s="78"/>
      <x:c r="B41" s="78"/>
      <x:c r="C41" s="78"/>
      <x:c r="D41" s="102"/>
      <x:c r="E41" s="102"/>
      <x:c r="F41" s="102"/>
      <x:c r="G41" s="78"/>
      <x:c r="H41" s="78"/>
      <x:c r="I41" s="103" t="str">
        <x:f>IF(AND(A41&lt;&gt;"",C41&lt;&gt;"",ISNUMBER(D41),D41&gt;0,ISNUMBER(E41),E41&gt;=0,ISNUMBER(F41),F41&gt;0,G41="Sí",H41="Sí"),MAX(0,(D41-E41)*F41*4/60),"")</x:f>
      </x:c>
      <x:c r="J41" s="78"/>
      <x:c r="K41" s="78"/>
      <x:c r="L41" s="134"/>
      <x:c r="M41" s="134"/>
      <x:c r="N41" s="78"/>
      <x:c r="O41" s="78"/>
    </x:row>
    <x:row r="42" ht="34" customHeight="1">
      <x:c r="A42" s="78"/>
      <x:c r="B42" s="78"/>
      <x:c r="C42" s="78"/>
      <x:c r="D42" s="102"/>
      <x:c r="E42" s="102"/>
      <x:c r="F42" s="102"/>
      <x:c r="G42" s="78"/>
      <x:c r="H42" s="78"/>
      <x:c r="I42" s="103" t="str">
        <x:f>IF(AND(A42&lt;&gt;"",C42&lt;&gt;"",ISNUMBER(D42),D42&gt;0,ISNUMBER(E42),E42&gt;=0,ISNUMBER(F42),F42&gt;0,G42="Sí",H42="Sí"),MAX(0,(D42-E42)*F42*4/60),"")</x:f>
      </x:c>
      <x:c r="J42" s="78"/>
      <x:c r="K42" s="78"/>
      <x:c r="L42" s="134"/>
      <x:c r="M42" s="134"/>
      <x:c r="N42" s="78"/>
      <x:c r="O42" s="78"/>
    </x:row>
    <x:row r="43" ht="34" customHeight="1">
      <x:c r="A43" s="78"/>
      <x:c r="B43" s="78"/>
      <x:c r="C43" s="78"/>
      <x:c r="D43" s="102"/>
      <x:c r="E43" s="102"/>
      <x:c r="F43" s="102"/>
      <x:c r="G43" s="78"/>
      <x:c r="H43" s="78"/>
      <x:c r="I43" s="103" t="str">
        <x:f>IF(AND(A43&lt;&gt;"",C43&lt;&gt;"",ISNUMBER(D43),D43&gt;0,ISNUMBER(E43),E43&gt;=0,ISNUMBER(F43),F43&gt;0,G43="Sí",H43="Sí"),MAX(0,(D43-E43)*F43*4/60),"")</x:f>
      </x:c>
      <x:c r="J43" s="78"/>
      <x:c r="K43" s="78"/>
      <x:c r="L43" s="134"/>
      <x:c r="M43" s="134"/>
      <x:c r="N43" s="78"/>
      <x:c r="O43" s="78"/>
    </x:row>
    <x:row r="44" ht="34" customHeight="1">
      <x:c r="A44" s="82"/>
      <x:c r="B44" s="82"/>
      <x:c r="C44" s="82"/>
      <x:c r="D44" s="104"/>
      <x:c r="E44" s="104"/>
      <x:c r="F44" s="104"/>
      <x:c r="G44" s="82"/>
      <x:c r="H44" s="82"/>
      <x:c r="I44" s="105" t="str">
        <x:f>IF(AND(A44&lt;&gt;"",C44&lt;&gt;"",ISNUMBER(D44),D44&gt;0,ISNUMBER(E44),E44&gt;=0,ISNUMBER(F44),F44&gt;0,G44="Sí",H44="Sí"),MAX(0,(D44-E44)*F44*4/60),"")</x:f>
      </x:c>
      <x:c r="J44" s="82"/>
      <x:c r="K44" s="82"/>
      <x:c r="L44" s="135"/>
      <x:c r="M44" s="135"/>
      <x:c r="N44" s="82"/>
      <x:c r="O44" s="82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</x:row>
  </x:sheetData>
  <x:dataValidations count="1">
    <x:dataValidation type="list" sqref="G5:H44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1468bdf1cf4b11"/>
  </x:tableParts>
</x:worksheet>
</file>